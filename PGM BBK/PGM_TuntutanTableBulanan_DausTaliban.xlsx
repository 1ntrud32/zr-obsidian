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4785ed05d0961c7/Desktop/"/>
    </mc:Choice>
  </mc:AlternateContent>
  <xr:revisionPtr revIDLastSave="7" documentId="11_2A59594FD5429CCFE36634F5433B1EFEBAF38A37" xr6:coauthVersionLast="47" xr6:coauthVersionMax="47" xr10:uidLastSave="{AEA245FC-201A-4E04-9206-464494CF1558}"/>
  <bookViews>
    <workbookView xWindow="-120" yWindow="-120" windowWidth="29040" windowHeight="17520" activeTab="11" xr2:uid="{00000000-000D-0000-FFFF-FFFF00000000}"/>
  </bookViews>
  <sheets>
    <sheet name="12" sheetId="1" r:id="rId1"/>
    <sheet name="11" sheetId="14" r:id="rId2"/>
    <sheet name="10" sheetId="13" r:id="rId3"/>
    <sheet name="09" sheetId="2" r:id="rId4"/>
    <sheet name="08" sheetId="3" r:id="rId5"/>
    <sheet name="7" sheetId="4" r:id="rId6"/>
    <sheet name="6" sheetId="6" r:id="rId7"/>
    <sheet name="5" sheetId="7" r:id="rId8"/>
    <sheet name="4" sheetId="8" r:id="rId9"/>
    <sheet name="3" sheetId="9" r:id="rId10"/>
    <sheet name="2" sheetId="16" r:id="rId11"/>
    <sheet name="1" sheetId="10" r:id="rId12"/>
    <sheet name="summary" sheetId="15" r:id="rId13"/>
  </sheets>
  <definedNames>
    <definedName name="_xlnm.Print_Area" localSheetId="4">'08'!$A$1:$E$29</definedName>
    <definedName name="_xlnm.Print_Area" localSheetId="3">'09'!$A$1:$E$26</definedName>
    <definedName name="_xlnm.Print_Area" localSheetId="11">'1'!$A$1:$E$26</definedName>
    <definedName name="_xlnm.Print_Area" localSheetId="2">'10'!$A$1:$E$26</definedName>
    <definedName name="_xlnm.Print_Area" localSheetId="1">'11'!$A$1:$E$26</definedName>
    <definedName name="_xlnm.Print_Area" localSheetId="0">'12'!$A$1:$E$26</definedName>
    <definedName name="_xlnm.Print_Area" localSheetId="10">'2'!$A$1:$E$26</definedName>
    <definedName name="_xlnm.Print_Area" localSheetId="9">'3'!$A$1:$E$26</definedName>
    <definedName name="_xlnm.Print_Area" localSheetId="8">'4'!$A$1:$E$26</definedName>
    <definedName name="_xlnm.Print_Area" localSheetId="7">'5'!$A$1:$E$26</definedName>
    <definedName name="_xlnm.Print_Area" localSheetId="6">'6'!$A$1:$E$26</definedName>
    <definedName name="_xlnm.Print_Area" localSheetId="5">'7'!$A$1:$E$26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6" l="1"/>
  <c r="D16" i="16"/>
  <c r="D15" i="16"/>
  <c r="D14" i="16"/>
  <c r="D13" i="16"/>
  <c r="D12" i="16"/>
  <c r="D11" i="16"/>
  <c r="D18" i="16" s="1"/>
  <c r="D23" i="16" s="1"/>
  <c r="D26" i="16" s="1"/>
  <c r="B21" i="15"/>
  <c r="B18" i="15"/>
  <c r="B17" i="15"/>
  <c r="B16" i="15"/>
  <c r="B15" i="15"/>
  <c r="B14" i="15"/>
  <c r="B13" i="15"/>
  <c r="B12" i="15"/>
  <c r="B11" i="15"/>
  <c r="B22" i="15" s="1"/>
  <c r="B25" i="15" s="1"/>
  <c r="D17" i="14"/>
  <c r="D16" i="14"/>
  <c r="D15" i="14"/>
  <c r="D14" i="14"/>
  <c r="D13" i="14"/>
  <c r="D12" i="14"/>
  <c r="D11" i="14"/>
  <c r="D18" i="14" s="1"/>
  <c r="D23" i="14" s="1"/>
  <c r="D26" i="14" s="1"/>
  <c r="D17" i="13"/>
  <c r="D16" i="13"/>
  <c r="D15" i="13"/>
  <c r="D14" i="13"/>
  <c r="D13" i="13"/>
  <c r="D12" i="13"/>
  <c r="D18" i="13" s="1"/>
  <c r="D23" i="13" s="1"/>
  <c r="D26" i="13" s="1"/>
  <c r="D11" i="13"/>
  <c r="D11" i="10"/>
  <c r="D11" i="9"/>
  <c r="D11" i="8"/>
  <c r="D11" i="7"/>
  <c r="D11" i="6"/>
  <c r="D11" i="4"/>
  <c r="D11" i="3"/>
  <c r="D11" i="2"/>
  <c r="D18" i="1"/>
  <c r="D23" i="1"/>
  <c r="D11" i="1"/>
  <c r="D17" i="10"/>
  <c r="D16" i="10"/>
  <c r="D15" i="10"/>
  <c r="D14" i="10"/>
  <c r="D13" i="10"/>
  <c r="D12" i="10"/>
  <c r="D18" i="10" s="1"/>
  <c r="D23" i="10" s="1"/>
  <c r="D26" i="10" s="1"/>
  <c r="D17" i="9"/>
  <c r="D16" i="9"/>
  <c r="D15" i="9"/>
  <c r="D14" i="9"/>
  <c r="D13" i="9"/>
  <c r="D12" i="9"/>
  <c r="D17" i="8"/>
  <c r="D16" i="8"/>
  <c r="D15" i="8"/>
  <c r="D14" i="8"/>
  <c r="D13" i="8"/>
  <c r="D12" i="8"/>
  <c r="D18" i="8" s="1"/>
  <c r="D23" i="8" s="1"/>
  <c r="D26" i="8" s="1"/>
  <c r="H13" i="1" s="1"/>
  <c r="D17" i="7"/>
  <c r="D16" i="7"/>
  <c r="D15" i="7"/>
  <c r="D14" i="7"/>
  <c r="D13" i="7"/>
  <c r="D12" i="7"/>
  <c r="D18" i="7" s="1"/>
  <c r="D23" i="7" s="1"/>
  <c r="D26" i="7" s="1"/>
  <c r="H14" i="1" s="1"/>
  <c r="D17" i="6"/>
  <c r="D16" i="6"/>
  <c r="D15" i="6"/>
  <c r="D14" i="6"/>
  <c r="D13" i="6"/>
  <c r="D12" i="6"/>
  <c r="D18" i="6" s="1"/>
  <c r="D23" i="6" s="1"/>
  <c r="D26" i="6" s="1"/>
  <c r="H15" i="1" s="1"/>
  <c r="D17" i="4"/>
  <c r="D16" i="4"/>
  <c r="D15" i="4"/>
  <c r="D14" i="4"/>
  <c r="D13" i="4"/>
  <c r="D12" i="4"/>
  <c r="D18" i="4" s="1"/>
  <c r="D23" i="4" s="1"/>
  <c r="D26" i="4" s="1"/>
  <c r="D17" i="3"/>
  <c r="D16" i="3"/>
  <c r="D15" i="3"/>
  <c r="D14" i="3"/>
  <c r="D13" i="3"/>
  <c r="D12" i="3"/>
  <c r="D18" i="3" s="1"/>
  <c r="D23" i="3" s="1"/>
  <c r="D26" i="3" s="1"/>
  <c r="H17" i="1" s="1"/>
  <c r="D17" i="2"/>
  <c r="D16" i="2"/>
  <c r="D15" i="2"/>
  <c r="D14" i="2"/>
  <c r="D13" i="2"/>
  <c r="D18" i="2" s="1"/>
  <c r="D23" i="2" s="1"/>
  <c r="D26" i="2" s="1"/>
  <c r="H18" i="1" s="1"/>
  <c r="D12" i="2"/>
  <c r="D14" i="1"/>
  <c r="D12" i="1"/>
  <c r="D13" i="1"/>
  <c r="D15" i="1"/>
  <c r="D16" i="1"/>
  <c r="D17" i="1"/>
  <c r="H16" i="1" l="1"/>
  <c r="H11" i="1"/>
  <c r="D18" i="9"/>
  <c r="D23" i="9" s="1"/>
  <c r="D26" i="9"/>
  <c r="D26" i="1"/>
  <c r="H12" i="1" l="1"/>
  <c r="H21" i="1"/>
  <c r="H22" i="1" l="1"/>
</calcChain>
</file>

<file path=xl/sharedStrings.xml><?xml version="1.0" encoding="utf-8"?>
<sst xmlns="http://schemas.openxmlformats.org/spreadsheetml/2006/main" count="468" uniqueCount="50">
  <si>
    <t>NAMA</t>
  </si>
  <si>
    <t>I/C NO</t>
  </si>
  <si>
    <t>EMPLOYEE NO</t>
  </si>
  <si>
    <t>DEPT</t>
  </si>
  <si>
    <t>OPS</t>
  </si>
  <si>
    <t>JOB</t>
  </si>
  <si>
    <t>SOCSO</t>
  </si>
  <si>
    <t>EPF NO</t>
  </si>
  <si>
    <t>Perkara</t>
  </si>
  <si>
    <t>Amount (RM)</t>
  </si>
  <si>
    <t>Days</t>
  </si>
  <si>
    <t>Total (RM)</t>
  </si>
  <si>
    <t>Basic Salary</t>
  </si>
  <si>
    <t>Basic OT - 4 Hour</t>
  </si>
  <si>
    <t>Rest Day</t>
  </si>
  <si>
    <t>Rest Day OT 4 Hour</t>
  </si>
  <si>
    <t>Public Holiday</t>
  </si>
  <si>
    <t>Public Holiday OT</t>
  </si>
  <si>
    <t>Pinjaman</t>
  </si>
  <si>
    <t>EPF</t>
  </si>
  <si>
    <t>EIS</t>
  </si>
  <si>
    <t>MUHAMMAD RIDZUAN RADHI BIN ZURAIMI</t>
  </si>
  <si>
    <t>921231-14-6212</t>
  </si>
  <si>
    <t>W-R004</t>
  </si>
  <si>
    <t>W-SRA IBNU KATHIR</t>
  </si>
  <si>
    <t>921231146212</t>
  </si>
  <si>
    <t>Jumlah Tuntutan</t>
  </si>
  <si>
    <t>Jumlah Gaji Yang Telah Dibayar</t>
  </si>
  <si>
    <t>A</t>
  </si>
  <si>
    <t>B</t>
  </si>
  <si>
    <t>C</t>
  </si>
  <si>
    <t>Jumlah  Gaji Yang Dituntut (B-C)</t>
  </si>
  <si>
    <t>DATE</t>
  </si>
  <si>
    <t xml:space="preserve">Jumlah Gaji Kasar Sepatutnya Dibayar </t>
  </si>
  <si>
    <t>Jumlah Gaji Bersih Sepatutnya Dibayar</t>
  </si>
  <si>
    <t>Bulan</t>
  </si>
  <si>
    <t>-</t>
  </si>
  <si>
    <t>Tidak menuntut kerana slip gaji hilang</t>
  </si>
  <si>
    <t>Butiran</t>
  </si>
  <si>
    <t>19076692</t>
  </si>
  <si>
    <t>WD Extra</t>
  </si>
  <si>
    <t>Jumlah Gaji Terkurang Bayar</t>
  </si>
  <si>
    <t>Jumlah Gaji Terkurang bayar yang telah dikreditkan pada 17 Mei 2026 2026</t>
  </si>
  <si>
    <t>Penyatan Akaun dilampirkan</t>
  </si>
  <si>
    <t>Jumlah Gaji Terkurang Bayar yang dituntut</t>
  </si>
  <si>
    <t>Jumlah Gaji Ditunt</t>
  </si>
  <si>
    <t>Ringkasan Pengiraan</t>
  </si>
  <si>
    <r>
      <t xml:space="preserve">Jumlah Gaji Terkurang Bayar: </t>
    </r>
    <r>
      <rPr>
        <b/>
        <sz val="11"/>
        <color theme="1"/>
        <rFont val="Calibri"/>
        <family val="2"/>
        <scheme val="minor"/>
      </rPr>
      <t>RM11,279.35</t>
    </r>
  </si>
  <si>
    <r>
      <t xml:space="preserve">Tolakan bayaran telah dikreditkan (17 Mei 2026): </t>
    </r>
    <r>
      <rPr>
        <b/>
        <sz val="11"/>
        <color theme="1"/>
        <rFont val="Calibri"/>
        <family val="2"/>
        <scheme val="minor"/>
      </rPr>
      <t>RM1,326.70</t>
    </r>
  </si>
  <si>
    <t>Jumlah Tuntutan Bersih: RM9,952.65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</si>
</sst>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/>
    <xf numFmtId="0" fontId="0" fillId="0" borderId="1" xfId="0" applyBorder="1"/>
    <xf numFmtId="1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0" xfId="1" applyFont="1"/>
    <xf numFmtId="0" fontId="0" fillId="0" borderId="3" xfId="0" applyBorder="1"/>
    <xf numFmtId="43" fontId="0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43" fontId="3" fillId="0" borderId="1" xfId="1" applyFont="1" applyBorder="1"/>
    <xf numFmtId="164" fontId="2" fillId="0" borderId="1" xfId="1" applyNumberFormat="1" applyFont="1" applyBorder="1"/>
    <xf numFmtId="0" fontId="3" fillId="2" borderId="4" xfId="0" applyFont="1" applyFill="1" applyBorder="1"/>
    <xf numFmtId="0" fontId="3" fillId="2" borderId="5" xfId="0" applyFont="1" applyFill="1" applyBorder="1"/>
    <xf numFmtId="43" fontId="3" fillId="2" borderId="6" xfId="1" applyFont="1" applyFill="1" applyBorder="1"/>
    <xf numFmtId="17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0" fillId="0" borderId="1" xfId="0" applyNumberFormat="1" applyBorder="1" applyAlignment="1">
      <alignment horizontal="left"/>
    </xf>
    <xf numFmtId="43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3" borderId="1" xfId="0" applyFont="1" applyFill="1" applyBorder="1" applyAlignment="1">
      <alignment horizontal="left"/>
    </xf>
    <xf numFmtId="43" fontId="3" fillId="3" borderId="1" xfId="0" applyNumberFormat="1" applyFont="1" applyFill="1" applyBorder="1" applyAlignment="1">
      <alignment horizontal="left"/>
    </xf>
    <xf numFmtId="0" fontId="5" fillId="0" borderId="1" xfId="0" applyFont="1" applyBorder="1"/>
    <xf numFmtId="40" fontId="5" fillId="0" borderId="1" xfId="1" applyNumberFormat="1" applyFont="1" applyBorder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1" xfId="0" applyFont="1" applyBorder="1"/>
    <xf numFmtId="43" fontId="3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zoomScaleNormal="100" workbookViewId="0">
      <selection activeCell="A14" sqref="A14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15.5703125" customWidth="1"/>
    <col min="4" max="4" width="15.42578125" customWidth="1"/>
    <col min="7" max="7" width="17.7109375" customWidth="1"/>
    <col min="8" max="8" width="15.85546875" bestFit="1" customWidth="1"/>
    <col min="9" max="9" width="36.42578125" customWidth="1"/>
  </cols>
  <sheetData>
    <row r="1" spans="1:9" x14ac:dyDescent="0.25">
      <c r="A1" t="s">
        <v>32</v>
      </c>
      <c r="B1" s="3">
        <v>45992</v>
      </c>
      <c r="C1" s="4"/>
      <c r="D1" s="4"/>
      <c r="E1" s="4"/>
      <c r="F1" s="4"/>
      <c r="G1" s="4"/>
      <c r="H1" s="4"/>
    </row>
    <row r="2" spans="1:9" x14ac:dyDescent="0.25">
      <c r="A2" t="s">
        <v>0</v>
      </c>
      <c r="B2" s="24" t="s">
        <v>21</v>
      </c>
      <c r="C2" s="24"/>
      <c r="D2" s="24"/>
      <c r="E2" s="24"/>
      <c r="F2" s="24"/>
      <c r="G2" s="24"/>
      <c r="H2" s="24"/>
    </row>
    <row r="3" spans="1:9" x14ac:dyDescent="0.25">
      <c r="A3" t="s">
        <v>1</v>
      </c>
      <c r="B3" s="4" t="s">
        <v>22</v>
      </c>
      <c r="C3" s="4"/>
      <c r="D3" s="4"/>
      <c r="E3" s="4"/>
      <c r="F3" s="4"/>
      <c r="G3" s="4"/>
      <c r="H3" s="4"/>
    </row>
    <row r="4" spans="1:9" x14ac:dyDescent="0.25">
      <c r="A4" t="s">
        <v>2</v>
      </c>
      <c r="B4" s="4" t="s">
        <v>23</v>
      </c>
      <c r="C4" s="4"/>
      <c r="D4" s="4"/>
      <c r="E4" s="4"/>
      <c r="F4" s="4"/>
      <c r="G4" s="4"/>
      <c r="H4" s="4"/>
    </row>
    <row r="5" spans="1:9" x14ac:dyDescent="0.25">
      <c r="A5" t="s">
        <v>3</v>
      </c>
      <c r="B5" s="4" t="s">
        <v>4</v>
      </c>
      <c r="C5" s="4"/>
      <c r="D5" s="4"/>
      <c r="E5" s="4"/>
      <c r="F5" s="4"/>
      <c r="G5" s="4"/>
      <c r="H5" s="4"/>
    </row>
    <row r="6" spans="1:9" x14ac:dyDescent="0.25">
      <c r="A6" t="s">
        <v>5</v>
      </c>
      <c r="B6" s="4" t="s">
        <v>24</v>
      </c>
      <c r="C6" s="4"/>
      <c r="D6" s="4"/>
      <c r="E6" s="4"/>
      <c r="F6" s="4"/>
      <c r="G6" s="4"/>
      <c r="H6" s="4"/>
    </row>
    <row r="7" spans="1:9" x14ac:dyDescent="0.25">
      <c r="A7" t="s">
        <v>6</v>
      </c>
      <c r="B7" s="5" t="s">
        <v>25</v>
      </c>
      <c r="C7" s="4"/>
      <c r="D7" s="4"/>
      <c r="E7" s="4"/>
      <c r="F7" s="4"/>
      <c r="G7" s="4"/>
      <c r="H7" s="4"/>
    </row>
    <row r="8" spans="1:9" x14ac:dyDescent="0.25">
      <c r="A8" t="s">
        <v>7</v>
      </c>
      <c r="B8" s="5" t="s">
        <v>39</v>
      </c>
      <c r="C8" s="4"/>
      <c r="D8" s="4"/>
      <c r="E8" s="4"/>
      <c r="F8" s="4"/>
      <c r="G8" s="4"/>
      <c r="H8" s="4"/>
    </row>
    <row r="10" spans="1:9" x14ac:dyDescent="0.25">
      <c r="A10" s="1" t="s">
        <v>8</v>
      </c>
      <c r="B10" s="6" t="s">
        <v>9</v>
      </c>
      <c r="C10" s="6" t="s">
        <v>10</v>
      </c>
      <c r="D10" s="6" t="s">
        <v>11</v>
      </c>
      <c r="G10" s="20" t="s">
        <v>35</v>
      </c>
      <c r="H10" s="20" t="s">
        <v>26</v>
      </c>
      <c r="I10" s="21" t="s">
        <v>38</v>
      </c>
    </row>
    <row r="11" spans="1:9" x14ac:dyDescent="0.25">
      <c r="A11" s="2" t="s">
        <v>12</v>
      </c>
      <c r="B11" s="8">
        <v>65.38</v>
      </c>
      <c r="C11" s="7">
        <v>26</v>
      </c>
      <c r="D11" s="8">
        <f>B11*C11</f>
        <v>1699.8799999999999</v>
      </c>
      <c r="G11" s="18">
        <v>46054</v>
      </c>
      <c r="H11" s="22">
        <f>'1'!D26</f>
        <v>1031.6599999999999</v>
      </c>
      <c r="I11" s="19"/>
    </row>
    <row r="12" spans="1:9" x14ac:dyDescent="0.25">
      <c r="A12" s="2" t="s">
        <v>13</v>
      </c>
      <c r="B12" s="8">
        <v>49.04</v>
      </c>
      <c r="C12" s="7">
        <v>26</v>
      </c>
      <c r="D12" s="8">
        <f t="shared" ref="D12:D17" si="0">B12*C12</f>
        <v>1275.04</v>
      </c>
      <c r="G12" s="18">
        <v>46082</v>
      </c>
      <c r="H12" s="22">
        <f>'3'!D26</f>
        <v>1346.5799999999997</v>
      </c>
      <c r="I12" s="19"/>
    </row>
    <row r="13" spans="1:9" x14ac:dyDescent="0.25">
      <c r="A13" s="2" t="s">
        <v>14</v>
      </c>
      <c r="B13" s="8">
        <v>130.76</v>
      </c>
      <c r="C13" s="7">
        <v>4</v>
      </c>
      <c r="D13" s="8">
        <f t="shared" si="0"/>
        <v>523.04</v>
      </c>
      <c r="G13" s="18">
        <v>46113</v>
      </c>
      <c r="H13" s="22">
        <f>'4'!D26</f>
        <v>1241.5899999999997</v>
      </c>
      <c r="I13" s="19"/>
    </row>
    <row r="14" spans="1:9" x14ac:dyDescent="0.25">
      <c r="A14" s="2" t="s">
        <v>40</v>
      </c>
      <c r="B14" s="8">
        <v>80.59</v>
      </c>
      <c r="C14" s="7">
        <v>1</v>
      </c>
      <c r="D14" s="8">
        <f t="shared" si="0"/>
        <v>80.59</v>
      </c>
      <c r="G14" s="18">
        <v>46143</v>
      </c>
      <c r="H14" s="22">
        <f>'5'!D26</f>
        <v>1346.5799999999997</v>
      </c>
      <c r="I14" s="19"/>
    </row>
    <row r="15" spans="1:9" x14ac:dyDescent="0.25">
      <c r="A15" s="2" t="s">
        <v>15</v>
      </c>
      <c r="B15" s="8">
        <v>65.36</v>
      </c>
      <c r="C15" s="7">
        <v>4</v>
      </c>
      <c r="D15" s="8">
        <f t="shared" si="0"/>
        <v>261.44</v>
      </c>
      <c r="G15" s="18">
        <v>46174</v>
      </c>
      <c r="H15" s="22">
        <f>'6'!D26</f>
        <v>1183.5499999999995</v>
      </c>
      <c r="I15" s="19"/>
    </row>
    <row r="16" spans="1:9" x14ac:dyDescent="0.25">
      <c r="A16" s="2" t="s">
        <v>16</v>
      </c>
      <c r="B16" s="8">
        <v>130.76</v>
      </c>
      <c r="C16" s="7">
        <v>0</v>
      </c>
      <c r="D16" s="8">
        <f t="shared" si="0"/>
        <v>0</v>
      </c>
      <c r="G16" s="18">
        <v>46204</v>
      </c>
      <c r="H16" s="22">
        <f>'7'!D26</f>
        <v>1299.6300000000001</v>
      </c>
      <c r="I16" s="19"/>
    </row>
    <row r="17" spans="1:9" x14ac:dyDescent="0.25">
      <c r="A17" s="10" t="s">
        <v>17</v>
      </c>
      <c r="B17" s="11">
        <v>98.04</v>
      </c>
      <c r="C17" s="12">
        <v>0</v>
      </c>
      <c r="D17" s="11">
        <f t="shared" si="0"/>
        <v>0</v>
      </c>
      <c r="G17" s="18">
        <v>46235</v>
      </c>
      <c r="H17" s="22">
        <f>'08'!D26</f>
        <v>1346.5799999999997</v>
      </c>
      <c r="I17" s="19"/>
    </row>
    <row r="18" spans="1:9" x14ac:dyDescent="0.25">
      <c r="A18" s="37" t="s">
        <v>33</v>
      </c>
      <c r="B18" s="37"/>
      <c r="C18" s="37"/>
      <c r="D18" s="13">
        <f>SUM(D11:D17)</f>
        <v>3839.9900000000002</v>
      </c>
      <c r="E18" t="s">
        <v>28</v>
      </c>
      <c r="G18" s="18">
        <v>46266</v>
      </c>
      <c r="H18" s="22">
        <f>'09'!D26</f>
        <v>1183.5499999999995</v>
      </c>
      <c r="I18" s="19"/>
    </row>
    <row r="19" spans="1:9" x14ac:dyDescent="0.25">
      <c r="A19" s="2" t="s">
        <v>18</v>
      </c>
      <c r="B19" s="39"/>
      <c r="C19" s="40"/>
      <c r="D19" s="14">
        <v>-500</v>
      </c>
      <c r="G19" s="19" t="s">
        <v>36</v>
      </c>
      <c r="H19" s="19"/>
      <c r="I19" s="19" t="s">
        <v>37</v>
      </c>
    </row>
    <row r="20" spans="1:9" x14ac:dyDescent="0.25">
      <c r="A20" s="2" t="s">
        <v>19</v>
      </c>
      <c r="B20" s="39"/>
      <c r="C20" s="40"/>
      <c r="D20" s="14">
        <v>-187</v>
      </c>
      <c r="G20" s="19" t="s">
        <v>36</v>
      </c>
      <c r="H20" s="19"/>
      <c r="I20" s="19" t="s">
        <v>37</v>
      </c>
    </row>
    <row r="21" spans="1:9" x14ac:dyDescent="0.25">
      <c r="A21" s="2" t="s">
        <v>6</v>
      </c>
      <c r="B21" s="39"/>
      <c r="C21" s="40"/>
      <c r="D21" s="14">
        <v>-8.25</v>
      </c>
      <c r="G21" s="18">
        <v>46357</v>
      </c>
      <c r="H21" s="22">
        <f>D26</f>
        <v>1299.6300000000001</v>
      </c>
      <c r="I21" s="19"/>
    </row>
    <row r="22" spans="1:9" x14ac:dyDescent="0.25">
      <c r="A22" s="2" t="s">
        <v>20</v>
      </c>
      <c r="B22" s="39"/>
      <c r="C22" s="40"/>
      <c r="D22" s="14">
        <v>-3.3</v>
      </c>
      <c r="G22" s="21" t="s">
        <v>26</v>
      </c>
      <c r="H22" s="23">
        <f>SUM(H11:H21)</f>
        <v>11279.349999999999</v>
      </c>
      <c r="I22" s="21"/>
    </row>
    <row r="23" spans="1:9" x14ac:dyDescent="0.25">
      <c r="A23" s="37" t="s">
        <v>34</v>
      </c>
      <c r="B23" s="37"/>
      <c r="C23" s="37"/>
      <c r="D23" s="13">
        <f>SUM(D18:D22)</f>
        <v>3141.44</v>
      </c>
      <c r="E23" t="s">
        <v>29</v>
      </c>
    </row>
    <row r="24" spans="1:9" x14ac:dyDescent="0.25">
      <c r="D24" s="9"/>
    </row>
    <row r="25" spans="1:9" ht="15.75" thickBot="1" x14ac:dyDescent="0.3">
      <c r="A25" t="s">
        <v>27</v>
      </c>
      <c r="D25" s="9">
        <v>1841.81</v>
      </c>
      <c r="E25" t="s">
        <v>30</v>
      </c>
    </row>
    <row r="26" spans="1:9" ht="15.75" thickBot="1" x14ac:dyDescent="0.3">
      <c r="A26" s="15" t="s">
        <v>31</v>
      </c>
      <c r="B26" s="16"/>
      <c r="C26" s="16"/>
      <c r="D26" s="17">
        <f>D23-D25</f>
        <v>1299.6300000000001</v>
      </c>
    </row>
  </sheetData>
  <mergeCells count="6">
    <mergeCell ref="B21:C21"/>
    <mergeCell ref="B22:C22"/>
    <mergeCell ref="A23:C23"/>
    <mergeCell ref="A18:C18"/>
    <mergeCell ref="B19:C19"/>
    <mergeCell ref="B20:C20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B73F-C123-4C40-AC3D-594F7E0CC71C}">
  <dimension ref="A1:H26"/>
  <sheetViews>
    <sheetView zoomScaleNormal="100" workbookViewId="0">
      <selection activeCell="B2" sqref="B2:H2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15.5703125" customWidth="1"/>
    <col min="4" max="4" width="15.42578125" customWidth="1"/>
  </cols>
  <sheetData>
    <row r="1" spans="1:8" x14ac:dyDescent="0.25">
      <c r="A1" t="s">
        <v>32</v>
      </c>
      <c r="B1" s="3">
        <v>45962</v>
      </c>
      <c r="C1" s="4"/>
      <c r="D1" s="4"/>
      <c r="E1" s="4"/>
      <c r="F1" s="4"/>
      <c r="G1" s="4"/>
      <c r="H1" s="4"/>
    </row>
    <row r="2" spans="1:8" x14ac:dyDescent="0.25">
      <c r="A2" t="s">
        <v>0</v>
      </c>
      <c r="B2" s="38" t="s">
        <v>21</v>
      </c>
      <c r="C2" s="38"/>
      <c r="D2" s="38"/>
      <c r="E2" s="38"/>
      <c r="F2" s="38"/>
      <c r="G2" s="38"/>
      <c r="H2" s="38"/>
    </row>
    <row r="3" spans="1:8" x14ac:dyDescent="0.25">
      <c r="A3" t="s">
        <v>1</v>
      </c>
      <c r="B3" s="4" t="s">
        <v>22</v>
      </c>
      <c r="C3" s="4"/>
      <c r="D3" s="4"/>
      <c r="E3" s="4"/>
      <c r="F3" s="4"/>
      <c r="G3" s="4"/>
      <c r="H3" s="4"/>
    </row>
    <row r="4" spans="1:8" x14ac:dyDescent="0.25">
      <c r="A4" t="s">
        <v>2</v>
      </c>
      <c r="B4" s="4" t="s">
        <v>23</v>
      </c>
      <c r="C4" s="4"/>
      <c r="D4" s="4"/>
      <c r="E4" s="4"/>
      <c r="F4" s="4"/>
      <c r="G4" s="4"/>
      <c r="H4" s="4"/>
    </row>
    <row r="5" spans="1:8" x14ac:dyDescent="0.25">
      <c r="A5" t="s">
        <v>3</v>
      </c>
      <c r="B5" s="4" t="s">
        <v>4</v>
      </c>
      <c r="C5" s="4"/>
      <c r="D5" s="4"/>
      <c r="E5" s="4"/>
      <c r="F5" s="4"/>
      <c r="G5" s="4"/>
      <c r="H5" s="4"/>
    </row>
    <row r="6" spans="1:8" x14ac:dyDescent="0.25">
      <c r="A6" t="s">
        <v>5</v>
      </c>
      <c r="B6" s="4" t="s">
        <v>24</v>
      </c>
      <c r="C6" s="4"/>
      <c r="D6" s="4"/>
      <c r="E6" s="4"/>
      <c r="F6" s="4"/>
      <c r="G6" s="4"/>
      <c r="H6" s="4"/>
    </row>
    <row r="7" spans="1:8" x14ac:dyDescent="0.25">
      <c r="A7" t="s">
        <v>6</v>
      </c>
      <c r="B7" s="5" t="s">
        <v>25</v>
      </c>
      <c r="C7" s="4"/>
      <c r="D7" s="4"/>
      <c r="E7" s="4"/>
      <c r="F7" s="4"/>
      <c r="G7" s="4"/>
      <c r="H7" s="4"/>
    </row>
    <row r="8" spans="1:8" x14ac:dyDescent="0.25">
      <c r="A8" t="s">
        <v>7</v>
      </c>
      <c r="B8" s="5" t="s">
        <v>39</v>
      </c>
      <c r="C8" s="4"/>
      <c r="D8" s="4"/>
      <c r="E8" s="4"/>
      <c r="F8" s="4"/>
      <c r="G8" s="4"/>
      <c r="H8" s="4"/>
    </row>
    <row r="10" spans="1:8" x14ac:dyDescent="0.25">
      <c r="A10" s="1" t="s">
        <v>8</v>
      </c>
      <c r="B10" s="6" t="s">
        <v>9</v>
      </c>
      <c r="C10" s="6" t="s">
        <v>10</v>
      </c>
      <c r="D10" s="6" t="s">
        <v>11</v>
      </c>
    </row>
    <row r="11" spans="1:8" x14ac:dyDescent="0.25">
      <c r="A11" s="2" t="s">
        <v>12</v>
      </c>
      <c r="B11" s="8">
        <v>65.38</v>
      </c>
      <c r="C11" s="7">
        <v>26</v>
      </c>
      <c r="D11" s="8">
        <f>B11*C11</f>
        <v>1699.8799999999999</v>
      </c>
    </row>
    <row r="12" spans="1:8" x14ac:dyDescent="0.25">
      <c r="A12" s="2" t="s">
        <v>13</v>
      </c>
      <c r="B12" s="8">
        <v>49.04</v>
      </c>
      <c r="C12" s="7">
        <v>26</v>
      </c>
      <c r="D12" s="8">
        <f t="shared" ref="D12:D17" si="0">B12*C12</f>
        <v>1275.04</v>
      </c>
    </row>
    <row r="13" spans="1:8" x14ac:dyDescent="0.25">
      <c r="A13" s="2" t="s">
        <v>14</v>
      </c>
      <c r="B13" s="8">
        <v>130.76</v>
      </c>
      <c r="C13" s="7">
        <v>2</v>
      </c>
      <c r="D13" s="8">
        <f t="shared" si="0"/>
        <v>261.52</v>
      </c>
    </row>
    <row r="14" spans="1:8" x14ac:dyDescent="0.25">
      <c r="A14" s="2" t="s">
        <v>40</v>
      </c>
      <c r="B14" s="8">
        <v>80.59</v>
      </c>
      <c r="C14" s="7">
        <v>0</v>
      </c>
      <c r="D14" s="8">
        <f t="shared" si="0"/>
        <v>0</v>
      </c>
    </row>
    <row r="15" spans="1:8" x14ac:dyDescent="0.25">
      <c r="A15" s="2" t="s">
        <v>15</v>
      </c>
      <c r="B15" s="8">
        <v>65.36</v>
      </c>
      <c r="C15" s="7">
        <v>2</v>
      </c>
      <c r="D15" s="8">
        <f t="shared" si="0"/>
        <v>130.72</v>
      </c>
    </row>
    <row r="16" spans="1:8" x14ac:dyDescent="0.25">
      <c r="A16" s="2" t="s">
        <v>16</v>
      </c>
      <c r="B16" s="8">
        <v>130.76</v>
      </c>
      <c r="C16" s="7">
        <v>2</v>
      </c>
      <c r="D16" s="8">
        <f t="shared" si="0"/>
        <v>261.52</v>
      </c>
    </row>
    <row r="17" spans="1:5" x14ac:dyDescent="0.25">
      <c r="A17" s="10" t="s">
        <v>17</v>
      </c>
      <c r="B17" s="11">
        <v>98.04</v>
      </c>
      <c r="C17" s="12">
        <v>2</v>
      </c>
      <c r="D17" s="11">
        <f t="shared" si="0"/>
        <v>196.08</v>
      </c>
    </row>
    <row r="18" spans="1:5" x14ac:dyDescent="0.25">
      <c r="A18" s="37" t="s">
        <v>33</v>
      </c>
      <c r="B18" s="37"/>
      <c r="C18" s="37"/>
      <c r="D18" s="13">
        <f>SUM(D11:D17)</f>
        <v>3824.7599999999998</v>
      </c>
      <c r="E18" t="s">
        <v>28</v>
      </c>
    </row>
    <row r="19" spans="1:5" x14ac:dyDescent="0.25">
      <c r="A19" s="2" t="s">
        <v>18</v>
      </c>
      <c r="B19" s="39"/>
      <c r="C19" s="40"/>
      <c r="D19" s="14">
        <v>-500</v>
      </c>
    </row>
    <row r="20" spans="1:5" x14ac:dyDescent="0.25">
      <c r="A20" s="2" t="s">
        <v>19</v>
      </c>
      <c r="B20" s="39"/>
      <c r="C20" s="40"/>
      <c r="D20" s="14">
        <v>-187</v>
      </c>
    </row>
    <row r="21" spans="1:5" x14ac:dyDescent="0.25">
      <c r="A21" s="2" t="s">
        <v>6</v>
      </c>
      <c r="B21" s="39"/>
      <c r="C21" s="40"/>
      <c r="D21" s="14">
        <v>-8.25</v>
      </c>
    </row>
    <row r="22" spans="1:5" x14ac:dyDescent="0.25">
      <c r="A22" s="2" t="s">
        <v>20</v>
      </c>
      <c r="B22" s="39"/>
      <c r="C22" s="40"/>
      <c r="D22" s="14">
        <v>-3.3</v>
      </c>
    </row>
    <row r="23" spans="1:5" x14ac:dyDescent="0.25">
      <c r="A23" s="37" t="s">
        <v>34</v>
      </c>
      <c r="B23" s="37"/>
      <c r="C23" s="37"/>
      <c r="D23" s="13">
        <f>SUM(D18:D22)</f>
        <v>3126.2099999999996</v>
      </c>
      <c r="E23" t="s">
        <v>29</v>
      </c>
    </row>
    <row r="24" spans="1:5" x14ac:dyDescent="0.25">
      <c r="D24" s="9"/>
    </row>
    <row r="25" spans="1:5" ht="15.75" thickBot="1" x14ac:dyDescent="0.3">
      <c r="A25" t="s">
        <v>27</v>
      </c>
      <c r="D25" s="9">
        <v>1942.66</v>
      </c>
      <c r="E25" t="s">
        <v>30</v>
      </c>
    </row>
    <row r="26" spans="1:5" ht="15.75" thickBot="1" x14ac:dyDescent="0.3">
      <c r="A26" s="15" t="s">
        <v>31</v>
      </c>
      <c r="B26" s="16"/>
      <c r="C26" s="16"/>
      <c r="D26" s="17">
        <f>D23-D25</f>
        <v>1183.5499999999995</v>
      </c>
    </row>
  </sheetData>
  <mergeCells count="7">
    <mergeCell ref="A23:C23"/>
    <mergeCell ref="B2:H2"/>
    <mergeCell ref="A18:C18"/>
    <mergeCell ref="B19:C19"/>
    <mergeCell ref="B20:C20"/>
    <mergeCell ref="B21:C21"/>
    <mergeCell ref="B22:C22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1BD0-FBDE-43A3-9FDD-6D3789F384E0}">
  <dimension ref="A1:H26"/>
  <sheetViews>
    <sheetView zoomScaleNormal="100" workbookViewId="0">
      <selection activeCell="E20" sqref="E20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15.5703125" customWidth="1"/>
    <col min="4" max="4" width="15.42578125" customWidth="1"/>
  </cols>
  <sheetData>
    <row r="1" spans="1:8" x14ac:dyDescent="0.25">
      <c r="A1" t="s">
        <v>32</v>
      </c>
      <c r="B1" s="3">
        <v>45931</v>
      </c>
      <c r="C1" s="4"/>
      <c r="D1" s="4"/>
      <c r="E1" s="4"/>
      <c r="F1" s="4"/>
      <c r="G1" s="4"/>
      <c r="H1" s="4"/>
    </row>
    <row r="2" spans="1:8" x14ac:dyDescent="0.25">
      <c r="A2" t="s">
        <v>0</v>
      </c>
      <c r="B2" s="38" t="s">
        <v>21</v>
      </c>
      <c r="C2" s="38"/>
      <c r="D2" s="38"/>
      <c r="E2" s="38"/>
      <c r="F2" s="38"/>
      <c r="G2" s="38"/>
      <c r="H2" s="38"/>
    </row>
    <row r="3" spans="1:8" x14ac:dyDescent="0.25">
      <c r="A3" t="s">
        <v>1</v>
      </c>
      <c r="B3" s="4" t="s">
        <v>22</v>
      </c>
      <c r="C3" s="4"/>
      <c r="D3" s="4"/>
      <c r="E3" s="4"/>
      <c r="F3" s="4"/>
      <c r="G3" s="4"/>
      <c r="H3" s="4"/>
    </row>
    <row r="4" spans="1:8" x14ac:dyDescent="0.25">
      <c r="A4" t="s">
        <v>2</v>
      </c>
      <c r="B4" s="4" t="s">
        <v>23</v>
      </c>
      <c r="C4" s="4"/>
      <c r="D4" s="4"/>
      <c r="E4" s="4"/>
      <c r="F4" s="4"/>
      <c r="G4" s="4"/>
      <c r="H4" s="4"/>
    </row>
    <row r="5" spans="1:8" x14ac:dyDescent="0.25">
      <c r="A5" t="s">
        <v>3</v>
      </c>
      <c r="B5" s="4" t="s">
        <v>4</v>
      </c>
      <c r="C5" s="4"/>
      <c r="D5" s="4"/>
      <c r="E5" s="4"/>
      <c r="F5" s="4"/>
      <c r="G5" s="4"/>
      <c r="H5" s="4"/>
    </row>
    <row r="6" spans="1:8" x14ac:dyDescent="0.25">
      <c r="A6" t="s">
        <v>5</v>
      </c>
      <c r="B6" s="4" t="s">
        <v>24</v>
      </c>
      <c r="C6" s="4"/>
      <c r="D6" s="4"/>
      <c r="E6" s="4"/>
      <c r="F6" s="4"/>
      <c r="G6" s="4"/>
      <c r="H6" s="4"/>
    </row>
    <row r="7" spans="1:8" x14ac:dyDescent="0.25">
      <c r="A7" t="s">
        <v>6</v>
      </c>
      <c r="B7" s="5" t="s">
        <v>25</v>
      </c>
      <c r="C7" s="4"/>
      <c r="D7" s="4"/>
      <c r="E7" s="4"/>
      <c r="F7" s="4"/>
      <c r="G7" s="4"/>
      <c r="H7" s="4"/>
    </row>
    <row r="8" spans="1:8" x14ac:dyDescent="0.25">
      <c r="A8" t="s">
        <v>7</v>
      </c>
      <c r="B8" s="5" t="s">
        <v>39</v>
      </c>
      <c r="C8" s="4"/>
      <c r="D8" s="4"/>
      <c r="E8" s="4"/>
      <c r="F8" s="4"/>
      <c r="G8" s="4"/>
      <c r="H8" s="4"/>
    </row>
    <row r="10" spans="1:8" x14ac:dyDescent="0.25">
      <c r="A10" s="1" t="s">
        <v>8</v>
      </c>
      <c r="B10" s="6" t="s">
        <v>9</v>
      </c>
      <c r="C10" s="6" t="s">
        <v>10</v>
      </c>
      <c r="D10" s="6" t="s">
        <v>11</v>
      </c>
    </row>
    <row r="11" spans="1:8" x14ac:dyDescent="0.25">
      <c r="A11" s="2" t="s">
        <v>12</v>
      </c>
      <c r="B11" s="8">
        <v>65.38</v>
      </c>
      <c r="C11" s="7">
        <v>26</v>
      </c>
      <c r="D11" s="8">
        <f>B11*C11</f>
        <v>1699.8799999999999</v>
      </c>
    </row>
    <row r="12" spans="1:8" x14ac:dyDescent="0.25">
      <c r="A12" s="2" t="s">
        <v>13</v>
      </c>
      <c r="B12" s="8">
        <v>49.04</v>
      </c>
      <c r="C12" s="7">
        <v>26</v>
      </c>
      <c r="D12" s="8">
        <f t="shared" ref="D12:D17" si="0">B12*C12</f>
        <v>1275.04</v>
      </c>
    </row>
    <row r="13" spans="1:8" x14ac:dyDescent="0.25">
      <c r="A13" s="2" t="s">
        <v>14</v>
      </c>
      <c r="B13" s="8">
        <v>130.76</v>
      </c>
      <c r="C13" s="7">
        <v>2</v>
      </c>
      <c r="D13" s="8">
        <f t="shared" si="0"/>
        <v>261.52</v>
      </c>
    </row>
    <row r="14" spans="1:8" x14ac:dyDescent="0.25">
      <c r="A14" s="2" t="s">
        <v>40</v>
      </c>
      <c r="B14" s="8">
        <v>80.59</v>
      </c>
      <c r="C14" s="7">
        <v>0</v>
      </c>
      <c r="D14" s="8">
        <f t="shared" si="0"/>
        <v>0</v>
      </c>
    </row>
    <row r="15" spans="1:8" x14ac:dyDescent="0.25">
      <c r="A15" s="2" t="s">
        <v>15</v>
      </c>
      <c r="B15" s="8">
        <v>65.36</v>
      </c>
      <c r="C15" s="7">
        <v>2</v>
      </c>
      <c r="D15" s="8">
        <f t="shared" si="0"/>
        <v>130.72</v>
      </c>
    </row>
    <row r="16" spans="1:8" x14ac:dyDescent="0.25">
      <c r="A16" s="2" t="s">
        <v>16</v>
      </c>
      <c r="B16" s="8">
        <v>130.76</v>
      </c>
      <c r="C16" s="7">
        <v>2</v>
      </c>
      <c r="D16" s="8">
        <f t="shared" si="0"/>
        <v>261.52</v>
      </c>
    </row>
    <row r="17" spans="1:5" x14ac:dyDescent="0.25">
      <c r="A17" s="10" t="s">
        <v>17</v>
      </c>
      <c r="B17" s="11">
        <v>98.04</v>
      </c>
      <c r="C17" s="12">
        <v>2</v>
      </c>
      <c r="D17" s="11">
        <f t="shared" si="0"/>
        <v>196.08</v>
      </c>
    </row>
    <row r="18" spans="1:5" x14ac:dyDescent="0.25">
      <c r="A18" s="37" t="s">
        <v>33</v>
      </c>
      <c r="B18" s="37"/>
      <c r="C18" s="37"/>
      <c r="D18" s="13">
        <f>SUM(D11:D17)</f>
        <v>3824.7599999999998</v>
      </c>
      <c r="E18" t="s">
        <v>28</v>
      </c>
    </row>
    <row r="19" spans="1:5" x14ac:dyDescent="0.25">
      <c r="A19" s="2" t="s">
        <v>18</v>
      </c>
      <c r="B19" s="39"/>
      <c r="C19" s="40"/>
      <c r="D19" s="14">
        <v>-500</v>
      </c>
    </row>
    <row r="20" spans="1:5" x14ac:dyDescent="0.25">
      <c r="A20" s="2" t="s">
        <v>19</v>
      </c>
      <c r="B20" s="39"/>
      <c r="C20" s="40"/>
      <c r="D20" s="14">
        <v>-187</v>
      </c>
    </row>
    <row r="21" spans="1:5" x14ac:dyDescent="0.25">
      <c r="A21" s="2" t="s">
        <v>6</v>
      </c>
      <c r="B21" s="39"/>
      <c r="C21" s="40"/>
      <c r="D21" s="14">
        <v>-8.25</v>
      </c>
    </row>
    <row r="22" spans="1:5" x14ac:dyDescent="0.25">
      <c r="A22" s="2" t="s">
        <v>20</v>
      </c>
      <c r="B22" s="39"/>
      <c r="C22" s="40"/>
      <c r="D22" s="14">
        <v>-3.3</v>
      </c>
    </row>
    <row r="23" spans="1:5" x14ac:dyDescent="0.25">
      <c r="A23" s="37" t="s">
        <v>34</v>
      </c>
      <c r="B23" s="37"/>
      <c r="C23" s="37"/>
      <c r="D23" s="13">
        <f>SUM(D18:D22)</f>
        <v>3126.2099999999996</v>
      </c>
      <c r="E23" t="s">
        <v>29</v>
      </c>
    </row>
    <row r="24" spans="1:5" x14ac:dyDescent="0.25">
      <c r="D24" s="9"/>
    </row>
    <row r="25" spans="1:5" ht="15.75" thickBot="1" x14ac:dyDescent="0.3">
      <c r="A25" t="s">
        <v>27</v>
      </c>
      <c r="D25" s="9">
        <v>1942.66</v>
      </c>
      <c r="E25" t="s">
        <v>30</v>
      </c>
    </row>
    <row r="26" spans="1:5" ht="15.75" thickBot="1" x14ac:dyDescent="0.3">
      <c r="A26" s="15" t="s">
        <v>31</v>
      </c>
      <c r="B26" s="16"/>
      <c r="C26" s="16"/>
      <c r="D26" s="17">
        <f>D23-D25</f>
        <v>1183.5499999999995</v>
      </c>
    </row>
  </sheetData>
  <mergeCells count="7">
    <mergeCell ref="A23:C23"/>
    <mergeCell ref="B2:H2"/>
    <mergeCell ref="A18:C18"/>
    <mergeCell ref="B19:C19"/>
    <mergeCell ref="B20:C20"/>
    <mergeCell ref="B21:C21"/>
    <mergeCell ref="B22:C22"/>
  </mergeCell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F09B-58CB-4621-B1FC-C2446CA9AE54}">
  <dimension ref="A1:H26"/>
  <sheetViews>
    <sheetView zoomScaleNormal="100" workbookViewId="0">
      <selection activeCell="A14" sqref="A14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15.5703125" customWidth="1"/>
    <col min="4" max="4" width="15.42578125" customWidth="1"/>
  </cols>
  <sheetData>
    <row r="1" spans="1:8" x14ac:dyDescent="0.25">
      <c r="A1" t="s">
        <v>32</v>
      </c>
      <c r="B1" s="3">
        <v>45901</v>
      </c>
      <c r="C1" s="4"/>
      <c r="D1" s="4"/>
      <c r="E1" s="4"/>
      <c r="F1" s="4"/>
      <c r="G1" s="4"/>
      <c r="H1" s="4"/>
    </row>
    <row r="2" spans="1:8" x14ac:dyDescent="0.25">
      <c r="A2" t="s">
        <v>0</v>
      </c>
      <c r="B2" s="38" t="s">
        <v>21</v>
      </c>
      <c r="C2" s="38"/>
      <c r="D2" s="38"/>
      <c r="E2" s="38"/>
      <c r="F2" s="38"/>
      <c r="G2" s="38"/>
      <c r="H2" s="38"/>
    </row>
    <row r="3" spans="1:8" x14ac:dyDescent="0.25">
      <c r="A3" t="s">
        <v>1</v>
      </c>
      <c r="B3" s="4" t="s">
        <v>22</v>
      </c>
      <c r="C3" s="4"/>
      <c r="D3" s="4"/>
      <c r="E3" s="4"/>
      <c r="F3" s="4"/>
      <c r="G3" s="4"/>
      <c r="H3" s="4"/>
    </row>
    <row r="4" spans="1:8" x14ac:dyDescent="0.25">
      <c r="A4" t="s">
        <v>2</v>
      </c>
      <c r="B4" s="4" t="s">
        <v>23</v>
      </c>
      <c r="C4" s="4"/>
      <c r="D4" s="4"/>
      <c r="E4" s="4"/>
      <c r="F4" s="4"/>
      <c r="G4" s="4"/>
      <c r="H4" s="4"/>
    </row>
    <row r="5" spans="1:8" x14ac:dyDescent="0.25">
      <c r="A5" t="s">
        <v>3</v>
      </c>
      <c r="B5" s="4" t="s">
        <v>4</v>
      </c>
      <c r="C5" s="4"/>
      <c r="D5" s="4"/>
      <c r="E5" s="4"/>
      <c r="F5" s="4"/>
      <c r="G5" s="4"/>
      <c r="H5" s="4"/>
    </row>
    <row r="6" spans="1:8" x14ac:dyDescent="0.25">
      <c r="A6" t="s">
        <v>5</v>
      </c>
      <c r="B6" s="4" t="s">
        <v>24</v>
      </c>
      <c r="C6" s="4"/>
      <c r="D6" s="4"/>
      <c r="E6" s="4"/>
      <c r="F6" s="4"/>
      <c r="G6" s="4"/>
      <c r="H6" s="4"/>
    </row>
    <row r="7" spans="1:8" x14ac:dyDescent="0.25">
      <c r="A7" t="s">
        <v>6</v>
      </c>
      <c r="B7" s="5" t="s">
        <v>25</v>
      </c>
      <c r="C7" s="4"/>
      <c r="D7" s="4"/>
      <c r="E7" s="4"/>
      <c r="F7" s="4"/>
      <c r="G7" s="4"/>
      <c r="H7" s="4"/>
    </row>
    <row r="8" spans="1:8" x14ac:dyDescent="0.25">
      <c r="A8" t="s">
        <v>7</v>
      </c>
      <c r="B8" s="5" t="s">
        <v>39</v>
      </c>
      <c r="C8" s="4"/>
      <c r="D8" s="4"/>
      <c r="E8" s="4"/>
      <c r="F8" s="4"/>
      <c r="G8" s="4"/>
      <c r="H8" s="4"/>
    </row>
    <row r="10" spans="1:8" x14ac:dyDescent="0.25">
      <c r="A10" s="1" t="s">
        <v>8</v>
      </c>
      <c r="B10" s="6" t="s">
        <v>9</v>
      </c>
      <c r="C10" s="6" t="s">
        <v>10</v>
      </c>
      <c r="D10" s="6" t="s">
        <v>11</v>
      </c>
    </row>
    <row r="11" spans="1:8" x14ac:dyDescent="0.25">
      <c r="A11" s="2" t="s">
        <v>12</v>
      </c>
      <c r="B11" s="8">
        <v>65.38</v>
      </c>
      <c r="C11" s="7">
        <v>26</v>
      </c>
      <c r="D11" s="8">
        <f>B11*C11</f>
        <v>1699.8799999999999</v>
      </c>
    </row>
    <row r="12" spans="1:8" x14ac:dyDescent="0.25">
      <c r="A12" s="2" t="s">
        <v>13</v>
      </c>
      <c r="B12" s="8">
        <v>49.04</v>
      </c>
      <c r="C12" s="7">
        <v>26</v>
      </c>
      <c r="D12" s="8">
        <f t="shared" ref="D12:D17" si="0">B12*C12</f>
        <v>1275.04</v>
      </c>
    </row>
    <row r="13" spans="1:8" x14ac:dyDescent="0.25">
      <c r="A13" s="2" t="s">
        <v>14</v>
      </c>
      <c r="B13" s="8">
        <v>130.76</v>
      </c>
      <c r="C13" s="7">
        <v>2</v>
      </c>
      <c r="D13" s="8">
        <f t="shared" si="0"/>
        <v>261.52</v>
      </c>
    </row>
    <row r="14" spans="1:8" x14ac:dyDescent="0.25">
      <c r="A14" s="2" t="s">
        <v>40</v>
      </c>
      <c r="B14" s="8">
        <v>80.59</v>
      </c>
      <c r="C14" s="7">
        <v>0</v>
      </c>
      <c r="D14" s="8">
        <f t="shared" si="0"/>
        <v>0</v>
      </c>
    </row>
    <row r="15" spans="1:8" x14ac:dyDescent="0.25">
      <c r="A15" s="2" t="s">
        <v>15</v>
      </c>
      <c r="B15" s="8">
        <v>65.36</v>
      </c>
      <c r="C15" s="7">
        <v>2</v>
      </c>
      <c r="D15" s="8">
        <f t="shared" si="0"/>
        <v>130.72</v>
      </c>
    </row>
    <row r="16" spans="1:8" x14ac:dyDescent="0.25">
      <c r="A16" s="2" t="s">
        <v>16</v>
      </c>
      <c r="B16" s="8">
        <v>130.76</v>
      </c>
      <c r="C16" s="7">
        <v>2</v>
      </c>
      <c r="D16" s="8">
        <f t="shared" si="0"/>
        <v>261.52</v>
      </c>
    </row>
    <row r="17" spans="1:5" x14ac:dyDescent="0.25">
      <c r="A17" s="10" t="s">
        <v>17</v>
      </c>
      <c r="B17" s="11">
        <v>98.04</v>
      </c>
      <c r="C17" s="12">
        <v>2</v>
      </c>
      <c r="D17" s="11">
        <f t="shared" si="0"/>
        <v>196.08</v>
      </c>
    </row>
    <row r="18" spans="1:5" x14ac:dyDescent="0.25">
      <c r="A18" s="37" t="s">
        <v>33</v>
      </c>
      <c r="B18" s="37"/>
      <c r="C18" s="37"/>
      <c r="D18" s="13">
        <f>SUM(D11:D17)</f>
        <v>3824.7599999999998</v>
      </c>
      <c r="E18" t="s">
        <v>28</v>
      </c>
    </row>
    <row r="19" spans="1:5" x14ac:dyDescent="0.25">
      <c r="A19" s="2" t="s">
        <v>18</v>
      </c>
      <c r="B19" s="39"/>
      <c r="C19" s="40"/>
      <c r="D19" s="14">
        <v>-500</v>
      </c>
    </row>
    <row r="20" spans="1:5" x14ac:dyDescent="0.25">
      <c r="A20" s="2" t="s">
        <v>19</v>
      </c>
      <c r="B20" s="39"/>
      <c r="C20" s="40"/>
      <c r="D20" s="14">
        <v>-187</v>
      </c>
    </row>
    <row r="21" spans="1:5" x14ac:dyDescent="0.25">
      <c r="A21" s="2" t="s">
        <v>6</v>
      </c>
      <c r="B21" s="39"/>
      <c r="C21" s="40"/>
      <c r="D21" s="14">
        <v>-8.25</v>
      </c>
    </row>
    <row r="22" spans="1:5" x14ac:dyDescent="0.25">
      <c r="A22" s="2" t="s">
        <v>20</v>
      </c>
      <c r="B22" s="39"/>
      <c r="C22" s="40"/>
      <c r="D22" s="14">
        <v>-3.3</v>
      </c>
    </row>
    <row r="23" spans="1:5" x14ac:dyDescent="0.25">
      <c r="A23" s="37" t="s">
        <v>34</v>
      </c>
      <c r="B23" s="37"/>
      <c r="C23" s="37"/>
      <c r="D23" s="13">
        <f>SUM(D18:D22)</f>
        <v>3126.2099999999996</v>
      </c>
      <c r="E23" t="s">
        <v>29</v>
      </c>
    </row>
    <row r="24" spans="1:5" x14ac:dyDescent="0.25">
      <c r="D24" s="9"/>
    </row>
    <row r="25" spans="1:5" ht="15.75" thickBot="1" x14ac:dyDescent="0.3">
      <c r="A25" t="s">
        <v>27</v>
      </c>
      <c r="D25" s="9">
        <v>1942.66</v>
      </c>
      <c r="E25" t="s">
        <v>30</v>
      </c>
    </row>
    <row r="26" spans="1:5" ht="15.75" thickBot="1" x14ac:dyDescent="0.3">
      <c r="A26" s="15" t="s">
        <v>31</v>
      </c>
      <c r="B26" s="16"/>
      <c r="C26" s="16"/>
      <c r="D26" s="17">
        <f>D23-D25</f>
        <v>1183.5499999999995</v>
      </c>
    </row>
  </sheetData>
  <mergeCells count="7">
    <mergeCell ref="A23:C23"/>
    <mergeCell ref="B2:H2"/>
    <mergeCell ref="A18:C18"/>
    <mergeCell ref="B19:C19"/>
    <mergeCell ref="B20:C20"/>
    <mergeCell ref="B21:C21"/>
    <mergeCell ref="B22:C22"/>
  </mergeCell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BF18-5444-45AB-A962-027369DBCB65}">
  <dimension ref="A1:H26"/>
  <sheetViews>
    <sheetView zoomScaleNormal="100" workbookViewId="0">
      <selection activeCell="A14" sqref="A14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15.5703125" customWidth="1"/>
    <col min="4" max="4" width="15.42578125" customWidth="1"/>
  </cols>
  <sheetData>
    <row r="1" spans="1:8" x14ac:dyDescent="0.25">
      <c r="A1" t="s">
        <v>32</v>
      </c>
      <c r="B1" s="3">
        <v>45870</v>
      </c>
      <c r="C1" s="4"/>
      <c r="D1" s="4"/>
      <c r="E1" s="4"/>
      <c r="F1" s="4"/>
      <c r="G1" s="4"/>
      <c r="H1" s="4"/>
    </row>
    <row r="2" spans="1:8" x14ac:dyDescent="0.25">
      <c r="A2" t="s">
        <v>0</v>
      </c>
      <c r="B2" s="38" t="s">
        <v>21</v>
      </c>
      <c r="C2" s="38"/>
      <c r="D2" s="38"/>
      <c r="E2" s="38"/>
      <c r="F2" s="38"/>
      <c r="G2" s="38"/>
      <c r="H2" s="38"/>
    </row>
    <row r="3" spans="1:8" x14ac:dyDescent="0.25">
      <c r="A3" t="s">
        <v>1</v>
      </c>
      <c r="B3" s="4" t="s">
        <v>22</v>
      </c>
      <c r="C3" s="4"/>
      <c r="D3" s="4"/>
      <c r="E3" s="4"/>
      <c r="F3" s="4"/>
      <c r="G3" s="4"/>
      <c r="H3" s="4"/>
    </row>
    <row r="4" spans="1:8" x14ac:dyDescent="0.25">
      <c r="A4" t="s">
        <v>2</v>
      </c>
      <c r="B4" s="4" t="s">
        <v>23</v>
      </c>
      <c r="C4" s="4"/>
      <c r="D4" s="4"/>
      <c r="E4" s="4"/>
      <c r="F4" s="4"/>
      <c r="G4" s="4"/>
      <c r="H4" s="4"/>
    </row>
    <row r="5" spans="1:8" x14ac:dyDescent="0.25">
      <c r="A5" t="s">
        <v>3</v>
      </c>
      <c r="B5" s="4" t="s">
        <v>4</v>
      </c>
      <c r="C5" s="4"/>
      <c r="D5" s="4"/>
      <c r="E5" s="4"/>
      <c r="F5" s="4"/>
      <c r="G5" s="4"/>
      <c r="H5" s="4"/>
    </row>
    <row r="6" spans="1:8" x14ac:dyDescent="0.25">
      <c r="A6" t="s">
        <v>5</v>
      </c>
      <c r="B6" s="4" t="s">
        <v>24</v>
      </c>
      <c r="C6" s="4"/>
      <c r="D6" s="4"/>
      <c r="E6" s="4"/>
      <c r="F6" s="4"/>
      <c r="G6" s="4"/>
      <c r="H6" s="4"/>
    </row>
    <row r="7" spans="1:8" x14ac:dyDescent="0.25">
      <c r="A7" t="s">
        <v>6</v>
      </c>
      <c r="B7" s="5" t="s">
        <v>25</v>
      </c>
      <c r="C7" s="4"/>
      <c r="D7" s="4"/>
      <c r="E7" s="4"/>
      <c r="F7" s="4"/>
      <c r="G7" s="4"/>
      <c r="H7" s="4"/>
    </row>
    <row r="8" spans="1:8" x14ac:dyDescent="0.25">
      <c r="A8" t="s">
        <v>7</v>
      </c>
      <c r="B8" s="5" t="s">
        <v>39</v>
      </c>
      <c r="C8" s="4"/>
      <c r="D8" s="4"/>
      <c r="E8" s="4"/>
      <c r="F8" s="4"/>
      <c r="G8" s="4"/>
      <c r="H8" s="4"/>
    </row>
    <row r="10" spans="1:8" x14ac:dyDescent="0.25">
      <c r="A10" s="1" t="s">
        <v>8</v>
      </c>
      <c r="B10" s="6" t="s">
        <v>9</v>
      </c>
      <c r="C10" s="6" t="s">
        <v>10</v>
      </c>
      <c r="D10" s="6" t="s">
        <v>11</v>
      </c>
    </row>
    <row r="11" spans="1:8" x14ac:dyDescent="0.25">
      <c r="A11" s="2" t="s">
        <v>12</v>
      </c>
      <c r="B11" s="8">
        <v>65.38</v>
      </c>
      <c r="C11" s="7">
        <v>26</v>
      </c>
      <c r="D11" s="8">
        <f>B11*C11</f>
        <v>1699.8799999999999</v>
      </c>
    </row>
    <row r="12" spans="1:8" x14ac:dyDescent="0.25">
      <c r="A12" s="2" t="s">
        <v>13</v>
      </c>
      <c r="B12" s="8">
        <v>49.04</v>
      </c>
      <c r="C12" s="7">
        <v>26</v>
      </c>
      <c r="D12" s="8">
        <f t="shared" ref="D12:D17" si="0">B12*C12</f>
        <v>1275.04</v>
      </c>
    </row>
    <row r="13" spans="1:8" x14ac:dyDescent="0.25">
      <c r="A13" s="2" t="s">
        <v>14</v>
      </c>
      <c r="B13" s="8">
        <v>130.76</v>
      </c>
      <c r="C13" s="7">
        <v>4</v>
      </c>
      <c r="D13" s="8">
        <f t="shared" si="0"/>
        <v>523.04</v>
      </c>
    </row>
    <row r="14" spans="1:8" x14ac:dyDescent="0.25">
      <c r="A14" s="2" t="s">
        <v>40</v>
      </c>
      <c r="B14" s="8">
        <v>80.59</v>
      </c>
      <c r="C14" s="7">
        <v>0</v>
      </c>
      <c r="D14" s="8">
        <f t="shared" si="0"/>
        <v>0</v>
      </c>
    </row>
    <row r="15" spans="1:8" x14ac:dyDescent="0.25">
      <c r="A15" s="2" t="s">
        <v>15</v>
      </c>
      <c r="B15" s="8">
        <v>65.36</v>
      </c>
      <c r="C15" s="7">
        <v>4</v>
      </c>
      <c r="D15" s="8">
        <f t="shared" si="0"/>
        <v>261.44</v>
      </c>
    </row>
    <row r="16" spans="1:8" x14ac:dyDescent="0.25">
      <c r="A16" s="2" t="s">
        <v>16</v>
      </c>
      <c r="B16" s="8">
        <v>130.76</v>
      </c>
      <c r="C16" s="7">
        <v>1</v>
      </c>
      <c r="D16" s="8">
        <f t="shared" si="0"/>
        <v>130.76</v>
      </c>
    </row>
    <row r="17" spans="1:5" x14ac:dyDescent="0.25">
      <c r="A17" s="10" t="s">
        <v>17</v>
      </c>
      <c r="B17" s="11">
        <v>98.04</v>
      </c>
      <c r="C17" s="12">
        <v>1</v>
      </c>
      <c r="D17" s="11">
        <f t="shared" si="0"/>
        <v>98.04</v>
      </c>
    </row>
    <row r="18" spans="1:5" x14ac:dyDescent="0.25">
      <c r="A18" s="37" t="s">
        <v>33</v>
      </c>
      <c r="B18" s="37"/>
      <c r="C18" s="37"/>
      <c r="D18" s="13">
        <f>SUM(D11:D17)</f>
        <v>3988.2</v>
      </c>
      <c r="E18" t="s">
        <v>28</v>
      </c>
    </row>
    <row r="19" spans="1:5" x14ac:dyDescent="0.25">
      <c r="A19" s="2" t="s">
        <v>18</v>
      </c>
      <c r="B19" s="39"/>
      <c r="C19" s="40"/>
      <c r="D19" s="14">
        <v>-500</v>
      </c>
    </row>
    <row r="20" spans="1:5" x14ac:dyDescent="0.25">
      <c r="A20" s="2" t="s">
        <v>19</v>
      </c>
      <c r="B20" s="39"/>
      <c r="C20" s="40"/>
      <c r="D20" s="14">
        <v>-187</v>
      </c>
    </row>
    <row r="21" spans="1:5" x14ac:dyDescent="0.25">
      <c r="A21" s="2" t="s">
        <v>6</v>
      </c>
      <c r="B21" s="39"/>
      <c r="C21" s="40"/>
      <c r="D21" s="14">
        <v>-8.25</v>
      </c>
    </row>
    <row r="22" spans="1:5" x14ac:dyDescent="0.25">
      <c r="A22" s="2" t="s">
        <v>20</v>
      </c>
      <c r="B22" s="39"/>
      <c r="C22" s="40"/>
      <c r="D22" s="14">
        <v>-3.3</v>
      </c>
    </row>
    <row r="23" spans="1:5" x14ac:dyDescent="0.25">
      <c r="A23" s="37" t="s">
        <v>34</v>
      </c>
      <c r="B23" s="37"/>
      <c r="C23" s="37"/>
      <c r="D23" s="13">
        <f>SUM(D18:D22)</f>
        <v>3289.6499999999996</v>
      </c>
      <c r="E23" t="s">
        <v>29</v>
      </c>
    </row>
    <row r="24" spans="1:5" x14ac:dyDescent="0.25">
      <c r="D24" s="9"/>
    </row>
    <row r="25" spans="1:5" ht="15.75" thickBot="1" x14ac:dyDescent="0.3">
      <c r="A25" t="s">
        <v>27</v>
      </c>
      <c r="D25" s="9">
        <v>1943.07</v>
      </c>
      <c r="E25" t="s">
        <v>30</v>
      </c>
    </row>
    <row r="26" spans="1:5" ht="15.75" thickBot="1" x14ac:dyDescent="0.3">
      <c r="A26" s="15" t="s">
        <v>31</v>
      </c>
      <c r="B26" s="16"/>
      <c r="C26" s="16"/>
      <c r="D26" s="17">
        <f>D23-D25</f>
        <v>1346.5799999999997</v>
      </c>
    </row>
  </sheetData>
  <mergeCells count="7">
    <mergeCell ref="A23:C23"/>
    <mergeCell ref="B2:H2"/>
    <mergeCell ref="A18:C18"/>
    <mergeCell ref="B19:C19"/>
    <mergeCell ref="B20:C20"/>
    <mergeCell ref="B21:C21"/>
    <mergeCell ref="B22:C2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9578-7B98-40AC-9D6D-48F5F4CA2CC8}">
  <dimension ref="A1:H26"/>
  <sheetViews>
    <sheetView zoomScaleNormal="100" workbookViewId="0">
      <selection activeCell="A14" sqref="A14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15.5703125" customWidth="1"/>
    <col min="4" max="4" width="15.42578125" customWidth="1"/>
  </cols>
  <sheetData>
    <row r="1" spans="1:8" x14ac:dyDescent="0.25">
      <c r="A1" t="s">
        <v>32</v>
      </c>
      <c r="B1" s="3">
        <v>45839</v>
      </c>
      <c r="C1" s="4"/>
      <c r="D1" s="4"/>
      <c r="E1" s="4"/>
      <c r="F1" s="4"/>
      <c r="G1" s="4"/>
      <c r="H1" s="4"/>
    </row>
    <row r="2" spans="1:8" x14ac:dyDescent="0.25">
      <c r="A2" t="s">
        <v>0</v>
      </c>
      <c r="B2" s="38" t="s">
        <v>21</v>
      </c>
      <c r="C2" s="38"/>
      <c r="D2" s="38"/>
      <c r="E2" s="38"/>
      <c r="F2" s="38"/>
      <c r="G2" s="38"/>
      <c r="H2" s="38"/>
    </row>
    <row r="3" spans="1:8" x14ac:dyDescent="0.25">
      <c r="A3" t="s">
        <v>1</v>
      </c>
      <c r="B3" s="4" t="s">
        <v>22</v>
      </c>
      <c r="C3" s="4"/>
      <c r="D3" s="4"/>
      <c r="E3" s="4"/>
      <c r="F3" s="4"/>
      <c r="G3" s="4"/>
      <c r="H3" s="4"/>
    </row>
    <row r="4" spans="1:8" x14ac:dyDescent="0.25">
      <c r="A4" t="s">
        <v>2</v>
      </c>
      <c r="B4" s="4" t="s">
        <v>23</v>
      </c>
      <c r="C4" s="4"/>
      <c r="D4" s="4"/>
      <c r="E4" s="4"/>
      <c r="F4" s="4"/>
      <c r="G4" s="4"/>
      <c r="H4" s="4"/>
    </row>
    <row r="5" spans="1:8" x14ac:dyDescent="0.25">
      <c r="A5" t="s">
        <v>3</v>
      </c>
      <c r="B5" s="4" t="s">
        <v>4</v>
      </c>
      <c r="C5" s="4"/>
      <c r="D5" s="4"/>
      <c r="E5" s="4"/>
      <c r="F5" s="4"/>
      <c r="G5" s="4"/>
      <c r="H5" s="4"/>
    </row>
    <row r="6" spans="1:8" x14ac:dyDescent="0.25">
      <c r="A6" t="s">
        <v>5</v>
      </c>
      <c r="B6" s="4" t="s">
        <v>24</v>
      </c>
      <c r="C6" s="4"/>
      <c r="D6" s="4"/>
      <c r="E6" s="4"/>
      <c r="F6" s="4"/>
      <c r="G6" s="4"/>
      <c r="H6" s="4"/>
    </row>
    <row r="7" spans="1:8" x14ac:dyDescent="0.25">
      <c r="A7" t="s">
        <v>6</v>
      </c>
      <c r="B7" s="5" t="s">
        <v>25</v>
      </c>
      <c r="C7" s="4"/>
      <c r="D7" s="4"/>
      <c r="E7" s="4"/>
      <c r="F7" s="4"/>
      <c r="G7" s="4"/>
      <c r="H7" s="4"/>
    </row>
    <row r="8" spans="1:8" x14ac:dyDescent="0.25">
      <c r="A8" t="s">
        <v>7</v>
      </c>
      <c r="B8" s="5" t="s">
        <v>39</v>
      </c>
      <c r="C8" s="4"/>
      <c r="D8" s="4"/>
      <c r="E8" s="4"/>
      <c r="F8" s="4"/>
      <c r="G8" s="4"/>
      <c r="H8" s="4"/>
    </row>
    <row r="10" spans="1:8" x14ac:dyDescent="0.25">
      <c r="A10" s="1" t="s">
        <v>8</v>
      </c>
      <c r="B10" s="6" t="s">
        <v>9</v>
      </c>
      <c r="C10" s="6" t="s">
        <v>10</v>
      </c>
      <c r="D10" s="6" t="s">
        <v>11</v>
      </c>
    </row>
    <row r="11" spans="1:8" x14ac:dyDescent="0.25">
      <c r="A11" s="2" t="s">
        <v>12</v>
      </c>
      <c r="B11" s="8">
        <v>65.38</v>
      </c>
      <c r="C11" s="7">
        <v>26</v>
      </c>
      <c r="D11" s="8">
        <f>B11*C11</f>
        <v>1699.8799999999999</v>
      </c>
    </row>
    <row r="12" spans="1:8" x14ac:dyDescent="0.25">
      <c r="A12" s="2" t="s">
        <v>13</v>
      </c>
      <c r="B12" s="8">
        <v>49.04</v>
      </c>
      <c r="C12" s="7">
        <v>26</v>
      </c>
      <c r="D12" s="8">
        <f t="shared" ref="D12:D17" si="0">B12*C12</f>
        <v>1275.04</v>
      </c>
    </row>
    <row r="13" spans="1:8" x14ac:dyDescent="0.25">
      <c r="A13" s="2" t="s">
        <v>14</v>
      </c>
      <c r="B13" s="8">
        <v>130.76</v>
      </c>
      <c r="C13" s="7">
        <v>4</v>
      </c>
      <c r="D13" s="8">
        <f t="shared" si="0"/>
        <v>523.04</v>
      </c>
    </row>
    <row r="14" spans="1:8" x14ac:dyDescent="0.25">
      <c r="A14" s="2" t="s">
        <v>40</v>
      </c>
      <c r="B14" s="8">
        <v>80.59</v>
      </c>
      <c r="C14" s="7">
        <v>1</v>
      </c>
      <c r="D14" s="8">
        <f t="shared" si="0"/>
        <v>80.59</v>
      </c>
    </row>
    <row r="15" spans="1:8" x14ac:dyDescent="0.25">
      <c r="A15" s="2" t="s">
        <v>15</v>
      </c>
      <c r="B15" s="8">
        <v>65.36</v>
      </c>
      <c r="C15" s="7">
        <v>4</v>
      </c>
      <c r="D15" s="8">
        <f t="shared" si="0"/>
        <v>261.44</v>
      </c>
    </row>
    <row r="16" spans="1:8" x14ac:dyDescent="0.25">
      <c r="A16" s="2" t="s">
        <v>16</v>
      </c>
      <c r="B16" s="8">
        <v>130.76</v>
      </c>
      <c r="C16" s="7">
        <v>0</v>
      </c>
      <c r="D16" s="8">
        <f t="shared" si="0"/>
        <v>0</v>
      </c>
    </row>
    <row r="17" spans="1:5" x14ac:dyDescent="0.25">
      <c r="A17" s="10" t="s">
        <v>17</v>
      </c>
      <c r="B17" s="11">
        <v>98.04</v>
      </c>
      <c r="C17" s="12">
        <v>0</v>
      </c>
      <c r="D17" s="11">
        <f t="shared" si="0"/>
        <v>0</v>
      </c>
    </row>
    <row r="18" spans="1:5" x14ac:dyDescent="0.25">
      <c r="A18" s="37" t="s">
        <v>33</v>
      </c>
      <c r="B18" s="37"/>
      <c r="C18" s="37"/>
      <c r="D18" s="13">
        <f>SUM(D11:D17)</f>
        <v>3839.9900000000002</v>
      </c>
      <c r="E18" t="s">
        <v>28</v>
      </c>
    </row>
    <row r="19" spans="1:5" x14ac:dyDescent="0.25">
      <c r="A19" s="2" t="s">
        <v>18</v>
      </c>
      <c r="B19" s="39"/>
      <c r="C19" s="40"/>
      <c r="D19" s="14">
        <v>-500</v>
      </c>
    </row>
    <row r="20" spans="1:5" x14ac:dyDescent="0.25">
      <c r="A20" s="2" t="s">
        <v>19</v>
      </c>
      <c r="B20" s="39"/>
      <c r="C20" s="40"/>
      <c r="D20" s="14">
        <v>-187</v>
      </c>
    </row>
    <row r="21" spans="1:5" x14ac:dyDescent="0.25">
      <c r="A21" s="2" t="s">
        <v>6</v>
      </c>
      <c r="B21" s="39"/>
      <c r="C21" s="40"/>
      <c r="D21" s="14">
        <v>-8.25</v>
      </c>
    </row>
    <row r="22" spans="1:5" x14ac:dyDescent="0.25">
      <c r="A22" s="2" t="s">
        <v>20</v>
      </c>
      <c r="B22" s="39"/>
      <c r="C22" s="40"/>
      <c r="D22" s="14">
        <v>-3.3</v>
      </c>
    </row>
    <row r="23" spans="1:5" x14ac:dyDescent="0.25">
      <c r="A23" s="37" t="s">
        <v>34</v>
      </c>
      <c r="B23" s="37"/>
      <c r="C23" s="37"/>
      <c r="D23" s="13">
        <f>SUM(D18:D22)</f>
        <v>3141.44</v>
      </c>
      <c r="E23" t="s">
        <v>29</v>
      </c>
    </row>
    <row r="24" spans="1:5" x14ac:dyDescent="0.25">
      <c r="D24" s="9"/>
    </row>
    <row r="25" spans="1:5" ht="15.75" thickBot="1" x14ac:dyDescent="0.3">
      <c r="A25" t="s">
        <v>27</v>
      </c>
      <c r="D25" s="9">
        <v>1841.81</v>
      </c>
      <c r="E25" t="s">
        <v>30</v>
      </c>
    </row>
    <row r="26" spans="1:5" ht="15.75" thickBot="1" x14ac:dyDescent="0.3">
      <c r="A26" s="15" t="s">
        <v>31</v>
      </c>
      <c r="B26" s="16"/>
      <c r="C26" s="16"/>
      <c r="D26" s="17">
        <f>D23-D25</f>
        <v>1299.6300000000001</v>
      </c>
    </row>
  </sheetData>
  <mergeCells count="7">
    <mergeCell ref="A23:C23"/>
    <mergeCell ref="B2:H2"/>
    <mergeCell ref="A18:C18"/>
    <mergeCell ref="B19:C19"/>
    <mergeCell ref="B20:C20"/>
    <mergeCell ref="B21:C21"/>
    <mergeCell ref="B22:C22"/>
  </mergeCells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71ED-A910-41AB-9DBF-7C0D265D3237}">
  <dimension ref="A1:H26"/>
  <sheetViews>
    <sheetView zoomScaleNormal="100" workbookViewId="0">
      <selection activeCell="A14" sqref="A14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15.5703125" customWidth="1"/>
    <col min="4" max="4" width="15.42578125" customWidth="1"/>
  </cols>
  <sheetData>
    <row r="1" spans="1:8" x14ac:dyDescent="0.25">
      <c r="A1" t="s">
        <v>32</v>
      </c>
      <c r="B1" s="3">
        <v>45809</v>
      </c>
      <c r="C1" s="4"/>
      <c r="D1" s="4"/>
      <c r="E1" s="4"/>
      <c r="F1" s="4"/>
      <c r="G1" s="4"/>
      <c r="H1" s="4"/>
    </row>
    <row r="2" spans="1:8" x14ac:dyDescent="0.25">
      <c r="A2" t="s">
        <v>0</v>
      </c>
      <c r="B2" s="38" t="s">
        <v>21</v>
      </c>
      <c r="C2" s="38"/>
      <c r="D2" s="38"/>
      <c r="E2" s="38"/>
      <c r="F2" s="38"/>
      <c r="G2" s="38"/>
      <c r="H2" s="38"/>
    </row>
    <row r="3" spans="1:8" x14ac:dyDescent="0.25">
      <c r="A3" t="s">
        <v>1</v>
      </c>
      <c r="B3" s="4" t="s">
        <v>22</v>
      </c>
      <c r="C3" s="4"/>
      <c r="D3" s="4"/>
      <c r="E3" s="4"/>
      <c r="F3" s="4"/>
      <c r="G3" s="4"/>
      <c r="H3" s="4"/>
    </row>
    <row r="4" spans="1:8" x14ac:dyDescent="0.25">
      <c r="A4" t="s">
        <v>2</v>
      </c>
      <c r="B4" s="4" t="s">
        <v>23</v>
      </c>
      <c r="C4" s="4"/>
      <c r="D4" s="4"/>
      <c r="E4" s="4"/>
      <c r="F4" s="4"/>
      <c r="G4" s="4"/>
      <c r="H4" s="4"/>
    </row>
    <row r="5" spans="1:8" x14ac:dyDescent="0.25">
      <c r="A5" t="s">
        <v>3</v>
      </c>
      <c r="B5" s="4" t="s">
        <v>4</v>
      </c>
      <c r="C5" s="4"/>
      <c r="D5" s="4"/>
      <c r="E5" s="4"/>
      <c r="F5" s="4"/>
      <c r="G5" s="4"/>
      <c r="H5" s="4"/>
    </row>
    <row r="6" spans="1:8" x14ac:dyDescent="0.25">
      <c r="A6" t="s">
        <v>5</v>
      </c>
      <c r="B6" s="4" t="s">
        <v>24</v>
      </c>
      <c r="C6" s="4"/>
      <c r="D6" s="4"/>
      <c r="E6" s="4"/>
      <c r="F6" s="4"/>
      <c r="G6" s="4"/>
      <c r="H6" s="4"/>
    </row>
    <row r="7" spans="1:8" x14ac:dyDescent="0.25">
      <c r="A7" t="s">
        <v>6</v>
      </c>
      <c r="B7" s="5" t="s">
        <v>25</v>
      </c>
      <c r="C7" s="4"/>
      <c r="D7" s="4"/>
      <c r="E7" s="4"/>
      <c r="F7" s="4"/>
      <c r="G7" s="4"/>
      <c r="H7" s="4"/>
    </row>
    <row r="8" spans="1:8" x14ac:dyDescent="0.25">
      <c r="A8" t="s">
        <v>7</v>
      </c>
      <c r="B8" s="5" t="s">
        <v>39</v>
      </c>
      <c r="C8" s="4"/>
      <c r="D8" s="4"/>
      <c r="E8" s="4"/>
      <c r="F8" s="4"/>
      <c r="G8" s="4"/>
      <c r="H8" s="4"/>
    </row>
    <row r="10" spans="1:8" x14ac:dyDescent="0.25">
      <c r="A10" s="1" t="s">
        <v>8</v>
      </c>
      <c r="B10" s="6" t="s">
        <v>9</v>
      </c>
      <c r="C10" s="6" t="s">
        <v>10</v>
      </c>
      <c r="D10" s="6" t="s">
        <v>11</v>
      </c>
    </row>
    <row r="11" spans="1:8" x14ac:dyDescent="0.25">
      <c r="A11" s="2" t="s">
        <v>12</v>
      </c>
      <c r="B11" s="8">
        <v>65.38</v>
      </c>
      <c r="C11" s="7">
        <v>26</v>
      </c>
      <c r="D11" s="8">
        <f>B11*C11</f>
        <v>1699.8799999999999</v>
      </c>
    </row>
    <row r="12" spans="1:8" x14ac:dyDescent="0.25">
      <c r="A12" s="2" t="s">
        <v>13</v>
      </c>
      <c r="B12" s="8">
        <v>49.04</v>
      </c>
      <c r="C12" s="7">
        <v>26</v>
      </c>
      <c r="D12" s="8">
        <f t="shared" ref="D12:D17" si="0">B12*C12</f>
        <v>1275.04</v>
      </c>
    </row>
    <row r="13" spans="1:8" x14ac:dyDescent="0.25">
      <c r="A13" s="2" t="s">
        <v>14</v>
      </c>
      <c r="B13" s="8">
        <v>130.76</v>
      </c>
      <c r="C13" s="7">
        <v>2</v>
      </c>
      <c r="D13" s="8">
        <f t="shared" si="0"/>
        <v>261.52</v>
      </c>
    </row>
    <row r="14" spans="1:8" x14ac:dyDescent="0.25">
      <c r="A14" s="2" t="s">
        <v>40</v>
      </c>
      <c r="B14" s="8">
        <v>80.59</v>
      </c>
      <c r="C14" s="7">
        <v>0</v>
      </c>
      <c r="D14" s="8">
        <f t="shared" si="0"/>
        <v>0</v>
      </c>
    </row>
    <row r="15" spans="1:8" x14ac:dyDescent="0.25">
      <c r="A15" s="2" t="s">
        <v>15</v>
      </c>
      <c r="B15" s="8">
        <v>65.36</v>
      </c>
      <c r="C15" s="7">
        <v>2</v>
      </c>
      <c r="D15" s="8">
        <f t="shared" si="0"/>
        <v>130.72</v>
      </c>
    </row>
    <row r="16" spans="1:8" x14ac:dyDescent="0.25">
      <c r="A16" s="2" t="s">
        <v>16</v>
      </c>
      <c r="B16" s="8">
        <v>130.76</v>
      </c>
      <c r="C16" s="7">
        <v>2</v>
      </c>
      <c r="D16" s="8">
        <f t="shared" si="0"/>
        <v>261.52</v>
      </c>
    </row>
    <row r="17" spans="1:5" x14ac:dyDescent="0.25">
      <c r="A17" s="10" t="s">
        <v>17</v>
      </c>
      <c r="B17" s="11">
        <v>98.04</v>
      </c>
      <c r="C17" s="12">
        <v>2</v>
      </c>
      <c r="D17" s="11">
        <f t="shared" si="0"/>
        <v>196.08</v>
      </c>
    </row>
    <row r="18" spans="1:5" x14ac:dyDescent="0.25">
      <c r="A18" s="37" t="s">
        <v>33</v>
      </c>
      <c r="B18" s="37"/>
      <c r="C18" s="37"/>
      <c r="D18" s="13">
        <f>SUM(D11:D17)</f>
        <v>3824.7599999999998</v>
      </c>
      <c r="E18" t="s">
        <v>28</v>
      </c>
    </row>
    <row r="19" spans="1:5" x14ac:dyDescent="0.25">
      <c r="A19" s="2" t="s">
        <v>18</v>
      </c>
      <c r="B19" s="39"/>
      <c r="C19" s="40"/>
      <c r="D19" s="14">
        <v>-500</v>
      </c>
    </row>
    <row r="20" spans="1:5" x14ac:dyDescent="0.25">
      <c r="A20" s="2" t="s">
        <v>19</v>
      </c>
      <c r="B20" s="39"/>
      <c r="C20" s="40"/>
      <c r="D20" s="14">
        <v>-187</v>
      </c>
    </row>
    <row r="21" spans="1:5" x14ac:dyDescent="0.25">
      <c r="A21" s="2" t="s">
        <v>6</v>
      </c>
      <c r="B21" s="39"/>
      <c r="C21" s="40"/>
      <c r="D21" s="14">
        <v>-8.25</v>
      </c>
    </row>
    <row r="22" spans="1:5" x14ac:dyDescent="0.25">
      <c r="A22" s="2" t="s">
        <v>20</v>
      </c>
      <c r="B22" s="39"/>
      <c r="C22" s="40"/>
      <c r="D22" s="14">
        <v>-3.3</v>
      </c>
    </row>
    <row r="23" spans="1:5" x14ac:dyDescent="0.25">
      <c r="A23" s="37" t="s">
        <v>34</v>
      </c>
      <c r="B23" s="37"/>
      <c r="C23" s="37"/>
      <c r="D23" s="13">
        <f>SUM(D18:D22)</f>
        <v>3126.2099999999996</v>
      </c>
      <c r="E23" t="s">
        <v>29</v>
      </c>
    </row>
    <row r="24" spans="1:5" x14ac:dyDescent="0.25">
      <c r="D24" s="9"/>
    </row>
    <row r="25" spans="1:5" ht="15.75" thickBot="1" x14ac:dyDescent="0.3">
      <c r="A25" t="s">
        <v>27</v>
      </c>
      <c r="D25" s="9">
        <v>1942.66</v>
      </c>
      <c r="E25" t="s">
        <v>30</v>
      </c>
    </row>
    <row r="26" spans="1:5" ht="15.75" thickBot="1" x14ac:dyDescent="0.3">
      <c r="A26" s="15" t="s">
        <v>31</v>
      </c>
      <c r="B26" s="16"/>
      <c r="C26" s="16"/>
      <c r="D26" s="17">
        <f>D23-D25</f>
        <v>1183.5499999999995</v>
      </c>
    </row>
  </sheetData>
  <mergeCells count="7">
    <mergeCell ref="A23:C23"/>
    <mergeCell ref="B2:H2"/>
    <mergeCell ref="A18:C18"/>
    <mergeCell ref="B19:C19"/>
    <mergeCell ref="B20:C20"/>
    <mergeCell ref="B21:C21"/>
    <mergeCell ref="B22:C22"/>
  </mergeCells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5607-1276-4E37-B9DA-2B4D459FF11B}">
  <dimension ref="A1:H26"/>
  <sheetViews>
    <sheetView zoomScaleNormal="100" workbookViewId="0">
      <selection activeCell="A14" sqref="A14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15.5703125" customWidth="1"/>
    <col min="4" max="4" width="15.42578125" customWidth="1"/>
  </cols>
  <sheetData>
    <row r="1" spans="1:8" x14ac:dyDescent="0.25">
      <c r="A1" t="s">
        <v>32</v>
      </c>
      <c r="B1" s="3">
        <v>45778</v>
      </c>
      <c r="C1" s="4"/>
      <c r="D1" s="4"/>
      <c r="E1" s="4"/>
      <c r="F1" s="4"/>
      <c r="G1" s="4"/>
      <c r="H1" s="4"/>
    </row>
    <row r="2" spans="1:8" x14ac:dyDescent="0.25">
      <c r="A2" t="s">
        <v>0</v>
      </c>
      <c r="B2" s="38" t="s">
        <v>21</v>
      </c>
      <c r="C2" s="38"/>
      <c r="D2" s="38"/>
      <c r="E2" s="38"/>
      <c r="F2" s="38"/>
      <c r="G2" s="38"/>
      <c r="H2" s="38"/>
    </row>
    <row r="3" spans="1:8" x14ac:dyDescent="0.25">
      <c r="A3" t="s">
        <v>1</v>
      </c>
      <c r="B3" s="4" t="s">
        <v>22</v>
      </c>
      <c r="C3" s="4"/>
      <c r="D3" s="4"/>
      <c r="E3" s="4"/>
      <c r="F3" s="4"/>
      <c r="G3" s="4"/>
      <c r="H3" s="4"/>
    </row>
    <row r="4" spans="1:8" x14ac:dyDescent="0.25">
      <c r="A4" t="s">
        <v>2</v>
      </c>
      <c r="B4" s="4" t="s">
        <v>23</v>
      </c>
      <c r="C4" s="4"/>
      <c r="D4" s="4"/>
      <c r="E4" s="4"/>
      <c r="F4" s="4"/>
      <c r="G4" s="4"/>
      <c r="H4" s="4"/>
    </row>
    <row r="5" spans="1:8" x14ac:dyDescent="0.25">
      <c r="A5" t="s">
        <v>3</v>
      </c>
      <c r="B5" s="4" t="s">
        <v>4</v>
      </c>
      <c r="C5" s="4"/>
      <c r="D5" s="4"/>
      <c r="E5" s="4"/>
      <c r="F5" s="4"/>
      <c r="G5" s="4"/>
      <c r="H5" s="4"/>
    </row>
    <row r="6" spans="1:8" x14ac:dyDescent="0.25">
      <c r="A6" t="s">
        <v>5</v>
      </c>
      <c r="B6" s="4" t="s">
        <v>24</v>
      </c>
      <c r="C6" s="4"/>
      <c r="D6" s="4"/>
      <c r="E6" s="4"/>
      <c r="F6" s="4"/>
      <c r="G6" s="4"/>
      <c r="H6" s="4"/>
    </row>
    <row r="7" spans="1:8" x14ac:dyDescent="0.25">
      <c r="A7" t="s">
        <v>6</v>
      </c>
      <c r="B7" s="5" t="s">
        <v>25</v>
      </c>
      <c r="C7" s="4"/>
      <c r="D7" s="4"/>
      <c r="E7" s="4"/>
      <c r="F7" s="4"/>
      <c r="G7" s="4"/>
      <c r="H7" s="4"/>
    </row>
    <row r="8" spans="1:8" x14ac:dyDescent="0.25">
      <c r="A8" t="s">
        <v>7</v>
      </c>
      <c r="B8" s="5" t="s">
        <v>39</v>
      </c>
      <c r="C8" s="4"/>
      <c r="D8" s="4"/>
      <c r="E8" s="4"/>
      <c r="F8" s="4"/>
      <c r="G8" s="4"/>
      <c r="H8" s="4"/>
    </row>
    <row r="10" spans="1:8" x14ac:dyDescent="0.25">
      <c r="A10" s="1" t="s">
        <v>8</v>
      </c>
      <c r="B10" s="6" t="s">
        <v>9</v>
      </c>
      <c r="C10" s="6" t="s">
        <v>10</v>
      </c>
      <c r="D10" s="6" t="s">
        <v>11</v>
      </c>
    </row>
    <row r="11" spans="1:8" x14ac:dyDescent="0.25">
      <c r="A11" s="2" t="s">
        <v>12</v>
      </c>
      <c r="B11" s="8">
        <v>65.38</v>
      </c>
      <c r="C11" s="7">
        <v>26</v>
      </c>
      <c r="D11" s="8">
        <f>B11*C11</f>
        <v>1699.8799999999999</v>
      </c>
    </row>
    <row r="12" spans="1:8" x14ac:dyDescent="0.25">
      <c r="A12" s="2" t="s">
        <v>13</v>
      </c>
      <c r="B12" s="8">
        <v>49.04</v>
      </c>
      <c r="C12" s="7">
        <v>26</v>
      </c>
      <c r="D12" s="8">
        <f t="shared" ref="D12:D17" si="0">B12*C12</f>
        <v>1275.04</v>
      </c>
    </row>
    <row r="13" spans="1:8" x14ac:dyDescent="0.25">
      <c r="A13" s="2" t="s">
        <v>14</v>
      </c>
      <c r="B13" s="8">
        <v>130.76</v>
      </c>
      <c r="C13" s="7">
        <v>4</v>
      </c>
      <c r="D13" s="8">
        <f t="shared" si="0"/>
        <v>523.04</v>
      </c>
    </row>
    <row r="14" spans="1:8" x14ac:dyDescent="0.25">
      <c r="A14" s="2" t="s">
        <v>40</v>
      </c>
      <c r="B14" s="8">
        <v>80.59</v>
      </c>
      <c r="C14" s="7">
        <v>0</v>
      </c>
      <c r="D14" s="8">
        <f t="shared" si="0"/>
        <v>0</v>
      </c>
    </row>
    <row r="15" spans="1:8" x14ac:dyDescent="0.25">
      <c r="A15" s="2" t="s">
        <v>15</v>
      </c>
      <c r="B15" s="8">
        <v>65.36</v>
      </c>
      <c r="C15" s="7">
        <v>4</v>
      </c>
      <c r="D15" s="8">
        <f t="shared" si="0"/>
        <v>261.44</v>
      </c>
    </row>
    <row r="16" spans="1:8" x14ac:dyDescent="0.25">
      <c r="A16" s="2" t="s">
        <v>16</v>
      </c>
      <c r="B16" s="8">
        <v>130.76</v>
      </c>
      <c r="C16" s="7">
        <v>1</v>
      </c>
      <c r="D16" s="8">
        <f t="shared" si="0"/>
        <v>130.76</v>
      </c>
    </row>
    <row r="17" spans="1:5" x14ac:dyDescent="0.25">
      <c r="A17" s="10" t="s">
        <v>17</v>
      </c>
      <c r="B17" s="11">
        <v>98.04</v>
      </c>
      <c r="C17" s="12">
        <v>1</v>
      </c>
      <c r="D17" s="11">
        <f t="shared" si="0"/>
        <v>98.04</v>
      </c>
    </row>
    <row r="18" spans="1:5" x14ac:dyDescent="0.25">
      <c r="A18" s="37" t="s">
        <v>33</v>
      </c>
      <c r="B18" s="37"/>
      <c r="C18" s="37"/>
      <c r="D18" s="13">
        <f>SUM(D11:D17)</f>
        <v>3988.2</v>
      </c>
      <c r="E18" t="s">
        <v>28</v>
      </c>
    </row>
    <row r="19" spans="1:5" x14ac:dyDescent="0.25">
      <c r="A19" s="2" t="s">
        <v>18</v>
      </c>
      <c r="B19" s="39"/>
      <c r="C19" s="40"/>
      <c r="D19" s="14">
        <v>-500</v>
      </c>
    </row>
    <row r="20" spans="1:5" x14ac:dyDescent="0.25">
      <c r="A20" s="2" t="s">
        <v>19</v>
      </c>
      <c r="B20" s="39"/>
      <c r="C20" s="40"/>
      <c r="D20" s="14">
        <v>-187</v>
      </c>
    </row>
    <row r="21" spans="1:5" x14ac:dyDescent="0.25">
      <c r="A21" s="2" t="s">
        <v>6</v>
      </c>
      <c r="B21" s="39"/>
      <c r="C21" s="40"/>
      <c r="D21" s="14">
        <v>-8.25</v>
      </c>
    </row>
    <row r="22" spans="1:5" x14ac:dyDescent="0.25">
      <c r="A22" s="2" t="s">
        <v>20</v>
      </c>
      <c r="B22" s="39"/>
      <c r="C22" s="40"/>
      <c r="D22" s="14">
        <v>-3.3</v>
      </c>
    </row>
    <row r="23" spans="1:5" x14ac:dyDescent="0.25">
      <c r="A23" s="37" t="s">
        <v>34</v>
      </c>
      <c r="B23" s="37"/>
      <c r="C23" s="37"/>
      <c r="D23" s="13">
        <f>SUM(D18:D22)</f>
        <v>3289.6499999999996</v>
      </c>
      <c r="E23" t="s">
        <v>29</v>
      </c>
    </row>
    <row r="24" spans="1:5" x14ac:dyDescent="0.25">
      <c r="D24" s="9"/>
    </row>
    <row r="25" spans="1:5" ht="15.75" thickBot="1" x14ac:dyDescent="0.3">
      <c r="A25" t="s">
        <v>27</v>
      </c>
      <c r="D25" s="9">
        <v>1943.07</v>
      </c>
      <c r="E25" t="s">
        <v>30</v>
      </c>
    </row>
    <row r="26" spans="1:5" ht="15.75" thickBot="1" x14ac:dyDescent="0.3">
      <c r="A26" s="15" t="s">
        <v>31</v>
      </c>
      <c r="B26" s="16"/>
      <c r="C26" s="16"/>
      <c r="D26" s="17">
        <f>D23-D25</f>
        <v>1346.5799999999997</v>
      </c>
    </row>
  </sheetData>
  <mergeCells count="7">
    <mergeCell ref="A23:C23"/>
    <mergeCell ref="B2:H2"/>
    <mergeCell ref="A18:C18"/>
    <mergeCell ref="B19:C19"/>
    <mergeCell ref="B20:C20"/>
    <mergeCell ref="B21:C21"/>
    <mergeCell ref="B22:C22"/>
  </mergeCell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45C7-61F7-42DF-87A8-CFFB2E187506}">
  <dimension ref="A1:H26"/>
  <sheetViews>
    <sheetView zoomScaleNormal="100" workbookViewId="0">
      <selection activeCell="A14" sqref="A14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15.5703125" customWidth="1"/>
    <col min="4" max="4" width="15.42578125" customWidth="1"/>
  </cols>
  <sheetData>
    <row r="1" spans="1:8" x14ac:dyDescent="0.25">
      <c r="A1" t="s">
        <v>32</v>
      </c>
      <c r="B1" s="3">
        <v>45748</v>
      </c>
      <c r="C1" s="4"/>
      <c r="D1" s="4"/>
      <c r="E1" s="4"/>
      <c r="F1" s="4"/>
      <c r="G1" s="4"/>
      <c r="H1" s="4"/>
    </row>
    <row r="2" spans="1:8" x14ac:dyDescent="0.25">
      <c r="A2" t="s">
        <v>0</v>
      </c>
      <c r="B2" s="38" t="s">
        <v>21</v>
      </c>
      <c r="C2" s="38"/>
      <c r="D2" s="38"/>
      <c r="E2" s="38"/>
      <c r="F2" s="38"/>
      <c r="G2" s="38"/>
      <c r="H2" s="38"/>
    </row>
    <row r="3" spans="1:8" x14ac:dyDescent="0.25">
      <c r="A3" t="s">
        <v>1</v>
      </c>
      <c r="B3" s="4" t="s">
        <v>22</v>
      </c>
      <c r="C3" s="4"/>
      <c r="D3" s="4"/>
      <c r="E3" s="4"/>
      <c r="F3" s="4"/>
      <c r="G3" s="4"/>
      <c r="H3" s="4"/>
    </row>
    <row r="4" spans="1:8" x14ac:dyDescent="0.25">
      <c r="A4" t="s">
        <v>2</v>
      </c>
      <c r="B4" s="4" t="s">
        <v>23</v>
      </c>
      <c r="C4" s="4"/>
      <c r="D4" s="4"/>
      <c r="E4" s="4"/>
      <c r="F4" s="4"/>
      <c r="G4" s="4"/>
      <c r="H4" s="4"/>
    </row>
    <row r="5" spans="1:8" x14ac:dyDescent="0.25">
      <c r="A5" t="s">
        <v>3</v>
      </c>
      <c r="B5" s="4" t="s">
        <v>4</v>
      </c>
      <c r="C5" s="4"/>
      <c r="D5" s="4"/>
      <c r="E5" s="4"/>
      <c r="F5" s="4"/>
      <c r="G5" s="4"/>
      <c r="H5" s="4"/>
    </row>
    <row r="6" spans="1:8" x14ac:dyDescent="0.25">
      <c r="A6" t="s">
        <v>5</v>
      </c>
      <c r="B6" s="4" t="s">
        <v>24</v>
      </c>
      <c r="C6" s="4"/>
      <c r="D6" s="4"/>
      <c r="E6" s="4"/>
      <c r="F6" s="4"/>
      <c r="G6" s="4"/>
      <c r="H6" s="4"/>
    </row>
    <row r="7" spans="1:8" x14ac:dyDescent="0.25">
      <c r="A7" t="s">
        <v>6</v>
      </c>
      <c r="B7" s="5" t="s">
        <v>25</v>
      </c>
      <c r="C7" s="4"/>
      <c r="D7" s="4"/>
      <c r="E7" s="4"/>
      <c r="F7" s="4"/>
      <c r="G7" s="4"/>
      <c r="H7" s="4"/>
    </row>
    <row r="8" spans="1:8" x14ac:dyDescent="0.25">
      <c r="A8" t="s">
        <v>7</v>
      </c>
      <c r="B8" s="5" t="s">
        <v>39</v>
      </c>
      <c r="C8" s="4"/>
      <c r="D8" s="4"/>
      <c r="E8" s="4"/>
      <c r="F8" s="4"/>
      <c r="G8" s="4"/>
      <c r="H8" s="4"/>
    </row>
    <row r="10" spans="1:8" x14ac:dyDescent="0.25">
      <c r="A10" s="1" t="s">
        <v>8</v>
      </c>
      <c r="B10" s="6" t="s">
        <v>9</v>
      </c>
      <c r="C10" s="6" t="s">
        <v>10</v>
      </c>
      <c r="D10" s="6" t="s">
        <v>11</v>
      </c>
    </row>
    <row r="11" spans="1:8" x14ac:dyDescent="0.25">
      <c r="A11" s="2" t="s">
        <v>12</v>
      </c>
      <c r="B11" s="8">
        <v>65.38</v>
      </c>
      <c r="C11" s="7">
        <v>26</v>
      </c>
      <c r="D11" s="8">
        <f>B11*C11</f>
        <v>1699.8799999999999</v>
      </c>
    </row>
    <row r="12" spans="1:8" x14ac:dyDescent="0.25">
      <c r="A12" s="2" t="s">
        <v>13</v>
      </c>
      <c r="B12" s="8">
        <v>49.04</v>
      </c>
      <c r="C12" s="7">
        <v>26</v>
      </c>
      <c r="D12" s="8">
        <f t="shared" ref="D12:D17" si="0">B12*C12</f>
        <v>1275.04</v>
      </c>
    </row>
    <row r="13" spans="1:8" x14ac:dyDescent="0.25">
      <c r="A13" s="2" t="s">
        <v>14</v>
      </c>
      <c r="B13" s="8">
        <v>130.76</v>
      </c>
      <c r="C13" s="7">
        <v>3</v>
      </c>
      <c r="D13" s="8">
        <f t="shared" si="0"/>
        <v>392.28</v>
      </c>
    </row>
    <row r="14" spans="1:8" x14ac:dyDescent="0.25">
      <c r="A14" s="2" t="s">
        <v>40</v>
      </c>
      <c r="B14" s="8">
        <v>80.59</v>
      </c>
      <c r="C14" s="7">
        <v>0</v>
      </c>
      <c r="D14" s="8">
        <f t="shared" si="0"/>
        <v>0</v>
      </c>
    </row>
    <row r="15" spans="1:8" x14ac:dyDescent="0.25">
      <c r="A15" s="2" t="s">
        <v>15</v>
      </c>
      <c r="B15" s="8">
        <v>65.36</v>
      </c>
      <c r="C15" s="7">
        <v>3</v>
      </c>
      <c r="D15" s="8">
        <f t="shared" si="0"/>
        <v>196.07999999999998</v>
      </c>
    </row>
    <row r="16" spans="1:8" x14ac:dyDescent="0.25">
      <c r="A16" s="2" t="s">
        <v>16</v>
      </c>
      <c r="B16" s="8">
        <v>130.76</v>
      </c>
      <c r="C16" s="7">
        <v>1</v>
      </c>
      <c r="D16" s="8">
        <f t="shared" si="0"/>
        <v>130.76</v>
      </c>
    </row>
    <row r="17" spans="1:5" x14ac:dyDescent="0.25">
      <c r="A17" s="10" t="s">
        <v>17</v>
      </c>
      <c r="B17" s="11">
        <v>98.04</v>
      </c>
      <c r="C17" s="12">
        <v>1</v>
      </c>
      <c r="D17" s="11">
        <f t="shared" si="0"/>
        <v>98.04</v>
      </c>
    </row>
    <row r="18" spans="1:5" x14ac:dyDescent="0.25">
      <c r="A18" s="37" t="s">
        <v>33</v>
      </c>
      <c r="B18" s="37"/>
      <c r="C18" s="37"/>
      <c r="D18" s="13">
        <f>SUM(D11:D17)</f>
        <v>3792.08</v>
      </c>
      <c r="E18" t="s">
        <v>28</v>
      </c>
    </row>
    <row r="19" spans="1:5" x14ac:dyDescent="0.25">
      <c r="A19" s="2" t="s">
        <v>18</v>
      </c>
      <c r="B19" s="39"/>
      <c r="C19" s="40"/>
      <c r="D19" s="14">
        <v>-500</v>
      </c>
    </row>
    <row r="20" spans="1:5" x14ac:dyDescent="0.25">
      <c r="A20" s="2" t="s">
        <v>19</v>
      </c>
      <c r="B20" s="39"/>
      <c r="C20" s="40"/>
      <c r="D20" s="14">
        <v>-187</v>
      </c>
    </row>
    <row r="21" spans="1:5" x14ac:dyDescent="0.25">
      <c r="A21" s="2" t="s">
        <v>6</v>
      </c>
      <c r="B21" s="39"/>
      <c r="C21" s="40"/>
      <c r="D21" s="14">
        <v>-8.25</v>
      </c>
    </row>
    <row r="22" spans="1:5" x14ac:dyDescent="0.25">
      <c r="A22" s="2" t="s">
        <v>20</v>
      </c>
      <c r="B22" s="39"/>
      <c r="C22" s="40"/>
      <c r="D22" s="14">
        <v>-3.3</v>
      </c>
    </row>
    <row r="23" spans="1:5" x14ac:dyDescent="0.25">
      <c r="A23" s="37" t="s">
        <v>34</v>
      </c>
      <c r="B23" s="37"/>
      <c r="C23" s="37"/>
      <c r="D23" s="13">
        <f>SUM(D18:D22)</f>
        <v>3093.5299999999997</v>
      </c>
      <c r="E23" t="s">
        <v>29</v>
      </c>
    </row>
    <row r="24" spans="1:5" x14ac:dyDescent="0.25">
      <c r="D24" s="9"/>
    </row>
    <row r="25" spans="1:5" ht="15.75" thickBot="1" x14ac:dyDescent="0.3">
      <c r="A25" t="s">
        <v>27</v>
      </c>
      <c r="D25" s="9">
        <v>1851.94</v>
      </c>
      <c r="E25" t="s">
        <v>30</v>
      </c>
    </row>
    <row r="26" spans="1:5" ht="15.75" thickBot="1" x14ac:dyDescent="0.3">
      <c r="A26" s="15" t="s">
        <v>31</v>
      </c>
      <c r="B26" s="16"/>
      <c r="C26" s="16"/>
      <c r="D26" s="17">
        <f>D23-D25</f>
        <v>1241.5899999999997</v>
      </c>
    </row>
  </sheetData>
  <mergeCells count="7">
    <mergeCell ref="A23:C23"/>
    <mergeCell ref="B2:H2"/>
    <mergeCell ref="A18:C18"/>
    <mergeCell ref="B19:C19"/>
    <mergeCell ref="B20:C20"/>
    <mergeCell ref="B21:C21"/>
    <mergeCell ref="B22:C22"/>
  </mergeCells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29C7-C56C-4011-9A85-E228FE29F21F}">
  <dimension ref="A1:H26"/>
  <sheetViews>
    <sheetView zoomScaleNormal="100" workbookViewId="0">
      <selection activeCell="A14" sqref="A14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15.5703125" customWidth="1"/>
    <col min="4" max="4" width="15.42578125" customWidth="1"/>
  </cols>
  <sheetData>
    <row r="1" spans="1:8" x14ac:dyDescent="0.25">
      <c r="A1" t="s">
        <v>32</v>
      </c>
      <c r="B1" s="3">
        <v>45717</v>
      </c>
      <c r="C1" s="4"/>
      <c r="D1" s="4"/>
      <c r="E1" s="4"/>
      <c r="F1" s="4"/>
      <c r="G1" s="4"/>
      <c r="H1" s="4"/>
    </row>
    <row r="2" spans="1:8" x14ac:dyDescent="0.25">
      <c r="A2" t="s">
        <v>0</v>
      </c>
      <c r="B2" s="38" t="s">
        <v>21</v>
      </c>
      <c r="C2" s="38"/>
      <c r="D2" s="38"/>
      <c r="E2" s="38"/>
      <c r="F2" s="38"/>
      <c r="G2" s="38"/>
      <c r="H2" s="38"/>
    </row>
    <row r="3" spans="1:8" x14ac:dyDescent="0.25">
      <c r="A3" t="s">
        <v>1</v>
      </c>
      <c r="B3" s="4" t="s">
        <v>22</v>
      </c>
      <c r="C3" s="4"/>
      <c r="D3" s="4"/>
      <c r="E3" s="4"/>
      <c r="F3" s="4"/>
      <c r="G3" s="4"/>
      <c r="H3" s="4"/>
    </row>
    <row r="4" spans="1:8" x14ac:dyDescent="0.25">
      <c r="A4" t="s">
        <v>2</v>
      </c>
      <c r="B4" s="4" t="s">
        <v>23</v>
      </c>
      <c r="C4" s="4"/>
      <c r="D4" s="4"/>
      <c r="E4" s="4"/>
      <c r="F4" s="4"/>
      <c r="G4" s="4"/>
      <c r="H4" s="4"/>
    </row>
    <row r="5" spans="1:8" x14ac:dyDescent="0.25">
      <c r="A5" t="s">
        <v>3</v>
      </c>
      <c r="B5" s="4" t="s">
        <v>4</v>
      </c>
      <c r="C5" s="4"/>
      <c r="D5" s="4"/>
      <c r="E5" s="4"/>
      <c r="F5" s="4"/>
      <c r="G5" s="4"/>
      <c r="H5" s="4"/>
    </row>
    <row r="6" spans="1:8" x14ac:dyDescent="0.25">
      <c r="A6" t="s">
        <v>5</v>
      </c>
      <c r="B6" s="4" t="s">
        <v>24</v>
      </c>
      <c r="C6" s="4"/>
      <c r="D6" s="4"/>
      <c r="E6" s="4"/>
      <c r="F6" s="4"/>
      <c r="G6" s="4"/>
      <c r="H6" s="4"/>
    </row>
    <row r="7" spans="1:8" x14ac:dyDescent="0.25">
      <c r="A7" t="s">
        <v>6</v>
      </c>
      <c r="B7" s="5" t="s">
        <v>25</v>
      </c>
      <c r="C7" s="4"/>
      <c r="D7" s="4"/>
      <c r="E7" s="4"/>
      <c r="F7" s="4"/>
      <c r="G7" s="4"/>
      <c r="H7" s="4"/>
    </row>
    <row r="8" spans="1:8" x14ac:dyDescent="0.25">
      <c r="A8" t="s">
        <v>7</v>
      </c>
      <c r="B8" s="5" t="s">
        <v>39</v>
      </c>
      <c r="C8" s="4"/>
      <c r="D8" s="4"/>
      <c r="E8" s="4"/>
      <c r="F8" s="4"/>
      <c r="G8" s="4"/>
      <c r="H8" s="4"/>
    </row>
    <row r="10" spans="1:8" x14ac:dyDescent="0.25">
      <c r="A10" s="1" t="s">
        <v>8</v>
      </c>
      <c r="B10" s="6" t="s">
        <v>9</v>
      </c>
      <c r="C10" s="6" t="s">
        <v>10</v>
      </c>
      <c r="D10" s="6" t="s">
        <v>11</v>
      </c>
    </row>
    <row r="11" spans="1:8" x14ac:dyDescent="0.25">
      <c r="A11" s="2" t="s">
        <v>12</v>
      </c>
      <c r="B11" s="8">
        <v>65.38</v>
      </c>
      <c r="C11" s="7">
        <v>26</v>
      </c>
      <c r="D11" s="8">
        <f>B11*C11</f>
        <v>1699.8799999999999</v>
      </c>
    </row>
    <row r="12" spans="1:8" x14ac:dyDescent="0.25">
      <c r="A12" s="2" t="s">
        <v>13</v>
      </c>
      <c r="B12" s="8">
        <v>49.04</v>
      </c>
      <c r="C12" s="7">
        <v>26</v>
      </c>
      <c r="D12" s="8">
        <f t="shared" ref="D12:D17" si="0">B12*C12</f>
        <v>1275.04</v>
      </c>
    </row>
    <row r="13" spans="1:8" x14ac:dyDescent="0.25">
      <c r="A13" s="2" t="s">
        <v>14</v>
      </c>
      <c r="B13" s="8">
        <v>130.76</v>
      </c>
      <c r="C13" s="7">
        <v>4</v>
      </c>
      <c r="D13" s="8">
        <f t="shared" si="0"/>
        <v>523.04</v>
      </c>
    </row>
    <row r="14" spans="1:8" x14ac:dyDescent="0.25">
      <c r="A14" s="2" t="s">
        <v>40</v>
      </c>
      <c r="B14" s="8">
        <v>80.59</v>
      </c>
      <c r="C14" s="7">
        <v>0</v>
      </c>
      <c r="D14" s="8">
        <f t="shared" si="0"/>
        <v>0</v>
      </c>
    </row>
    <row r="15" spans="1:8" x14ac:dyDescent="0.25">
      <c r="A15" s="2" t="s">
        <v>15</v>
      </c>
      <c r="B15" s="8">
        <v>65.36</v>
      </c>
      <c r="C15" s="7">
        <v>4</v>
      </c>
      <c r="D15" s="8">
        <f t="shared" si="0"/>
        <v>261.44</v>
      </c>
    </row>
    <row r="16" spans="1:8" x14ac:dyDescent="0.25">
      <c r="A16" s="2" t="s">
        <v>16</v>
      </c>
      <c r="B16" s="8">
        <v>130.76</v>
      </c>
      <c r="C16" s="7">
        <v>1</v>
      </c>
      <c r="D16" s="8">
        <f t="shared" si="0"/>
        <v>130.76</v>
      </c>
    </row>
    <row r="17" spans="1:5" x14ac:dyDescent="0.25">
      <c r="A17" s="10" t="s">
        <v>17</v>
      </c>
      <c r="B17" s="11">
        <v>98.04</v>
      </c>
      <c r="C17" s="12">
        <v>1</v>
      </c>
      <c r="D17" s="11">
        <f t="shared" si="0"/>
        <v>98.04</v>
      </c>
    </row>
    <row r="18" spans="1:5" x14ac:dyDescent="0.25">
      <c r="A18" s="37" t="s">
        <v>33</v>
      </c>
      <c r="B18" s="37"/>
      <c r="C18" s="37"/>
      <c r="D18" s="13">
        <f>SUM(D11:D17)</f>
        <v>3988.2</v>
      </c>
      <c r="E18" t="s">
        <v>28</v>
      </c>
    </row>
    <row r="19" spans="1:5" x14ac:dyDescent="0.25">
      <c r="A19" s="2" t="s">
        <v>18</v>
      </c>
      <c r="B19" s="39"/>
      <c r="C19" s="40"/>
      <c r="D19" s="14">
        <v>-800</v>
      </c>
    </row>
    <row r="20" spans="1:5" x14ac:dyDescent="0.25">
      <c r="A20" s="2" t="s">
        <v>19</v>
      </c>
      <c r="B20" s="39"/>
      <c r="C20" s="40"/>
      <c r="D20" s="14">
        <v>-187</v>
      </c>
    </row>
    <row r="21" spans="1:5" x14ac:dyDescent="0.25">
      <c r="A21" s="2" t="s">
        <v>6</v>
      </c>
      <c r="B21" s="39"/>
      <c r="C21" s="40"/>
      <c r="D21" s="14">
        <v>-8.25</v>
      </c>
    </row>
    <row r="22" spans="1:5" x14ac:dyDescent="0.25">
      <c r="A22" s="2" t="s">
        <v>20</v>
      </c>
      <c r="B22" s="39"/>
      <c r="C22" s="40"/>
      <c r="D22" s="14">
        <v>-3.3</v>
      </c>
    </row>
    <row r="23" spans="1:5" x14ac:dyDescent="0.25">
      <c r="A23" s="37" t="s">
        <v>34</v>
      </c>
      <c r="B23" s="37"/>
      <c r="C23" s="37"/>
      <c r="D23" s="13">
        <f>SUM(D18:D22)</f>
        <v>2989.6499999999996</v>
      </c>
      <c r="E23" t="s">
        <v>29</v>
      </c>
    </row>
    <row r="24" spans="1:5" x14ac:dyDescent="0.25">
      <c r="D24" s="9"/>
    </row>
    <row r="25" spans="1:5" ht="15.75" thickBot="1" x14ac:dyDescent="0.3">
      <c r="A25" t="s">
        <v>27</v>
      </c>
      <c r="D25" s="9">
        <v>1643.07</v>
      </c>
      <c r="E25" t="s">
        <v>30</v>
      </c>
    </row>
    <row r="26" spans="1:5" ht="15.75" thickBot="1" x14ac:dyDescent="0.3">
      <c r="A26" s="15" t="s">
        <v>31</v>
      </c>
      <c r="B26" s="16"/>
      <c r="C26" s="16"/>
      <c r="D26" s="17">
        <f>D23-D25</f>
        <v>1346.5799999999997</v>
      </c>
    </row>
  </sheetData>
  <mergeCells count="7">
    <mergeCell ref="A23:C23"/>
    <mergeCell ref="B2:H2"/>
    <mergeCell ref="A18:C18"/>
    <mergeCell ref="B19:C19"/>
    <mergeCell ref="B20:C20"/>
    <mergeCell ref="B21:C21"/>
    <mergeCell ref="B22:C22"/>
  </mergeCells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3353-5314-460F-B04A-A08461A347B1}">
  <dimension ref="A1:H26"/>
  <sheetViews>
    <sheetView zoomScaleNormal="100" workbookViewId="0">
      <selection activeCell="E37" sqref="E37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15.5703125" customWidth="1"/>
    <col min="4" max="4" width="15.42578125" customWidth="1"/>
  </cols>
  <sheetData>
    <row r="1" spans="1:8" x14ac:dyDescent="0.25">
      <c r="A1" t="s">
        <v>32</v>
      </c>
      <c r="B1" s="3">
        <v>45689</v>
      </c>
      <c r="C1" s="4"/>
      <c r="D1" s="4"/>
      <c r="E1" s="4"/>
      <c r="F1" s="4"/>
      <c r="G1" s="4"/>
      <c r="H1" s="4"/>
    </row>
    <row r="2" spans="1:8" x14ac:dyDescent="0.25">
      <c r="A2" t="s">
        <v>0</v>
      </c>
      <c r="B2" s="38" t="s">
        <v>21</v>
      </c>
      <c r="C2" s="38"/>
      <c r="D2" s="38"/>
      <c r="E2" s="38"/>
      <c r="F2" s="38"/>
      <c r="G2" s="38"/>
      <c r="H2" s="38"/>
    </row>
    <row r="3" spans="1:8" x14ac:dyDescent="0.25">
      <c r="A3" t="s">
        <v>1</v>
      </c>
      <c r="B3" s="4" t="s">
        <v>22</v>
      </c>
      <c r="C3" s="4"/>
      <c r="D3" s="4"/>
      <c r="E3" s="4"/>
      <c r="F3" s="4"/>
      <c r="G3" s="4"/>
      <c r="H3" s="4"/>
    </row>
    <row r="4" spans="1:8" x14ac:dyDescent="0.25">
      <c r="A4" t="s">
        <v>2</v>
      </c>
      <c r="B4" s="4" t="s">
        <v>23</v>
      </c>
      <c r="C4" s="4"/>
      <c r="D4" s="4"/>
      <c r="E4" s="4"/>
      <c r="F4" s="4"/>
      <c r="G4" s="4"/>
      <c r="H4" s="4"/>
    </row>
    <row r="5" spans="1:8" x14ac:dyDescent="0.25">
      <c r="A5" t="s">
        <v>3</v>
      </c>
      <c r="B5" s="4" t="s">
        <v>4</v>
      </c>
      <c r="C5" s="4"/>
      <c r="D5" s="4"/>
      <c r="E5" s="4"/>
      <c r="F5" s="4"/>
      <c r="G5" s="4"/>
      <c r="H5" s="4"/>
    </row>
    <row r="6" spans="1:8" x14ac:dyDescent="0.25">
      <c r="A6" t="s">
        <v>5</v>
      </c>
      <c r="B6" s="4" t="s">
        <v>24</v>
      </c>
      <c r="C6" s="4"/>
      <c r="D6" s="4"/>
      <c r="E6" s="4"/>
      <c r="F6" s="4"/>
      <c r="G6" s="4"/>
      <c r="H6" s="4"/>
    </row>
    <row r="7" spans="1:8" x14ac:dyDescent="0.25">
      <c r="A7" t="s">
        <v>6</v>
      </c>
      <c r="B7" s="5" t="s">
        <v>25</v>
      </c>
      <c r="C7" s="4"/>
      <c r="D7" s="4"/>
      <c r="E7" s="4"/>
      <c r="F7" s="4"/>
      <c r="G7" s="4"/>
      <c r="H7" s="4"/>
    </row>
    <row r="8" spans="1:8" x14ac:dyDescent="0.25">
      <c r="A8" t="s">
        <v>7</v>
      </c>
      <c r="B8" s="5" t="s">
        <v>39</v>
      </c>
      <c r="C8" s="4"/>
      <c r="D8" s="4"/>
      <c r="E8" s="4"/>
      <c r="F8" s="4"/>
      <c r="G8" s="4"/>
      <c r="H8" s="4"/>
    </row>
    <row r="10" spans="1:8" x14ac:dyDescent="0.25">
      <c r="A10" s="1" t="s">
        <v>8</v>
      </c>
      <c r="B10" s="6" t="s">
        <v>9</v>
      </c>
      <c r="C10" s="6" t="s">
        <v>10</v>
      </c>
      <c r="D10" s="6" t="s">
        <v>11</v>
      </c>
    </row>
    <row r="11" spans="1:8" x14ac:dyDescent="0.25">
      <c r="A11" s="2" t="s">
        <v>12</v>
      </c>
      <c r="B11" s="8">
        <v>65.38</v>
      </c>
      <c r="C11" s="7">
        <v>26</v>
      </c>
      <c r="D11" s="8">
        <f>B11*C11</f>
        <v>1699.8799999999999</v>
      </c>
    </row>
    <row r="12" spans="1:8" x14ac:dyDescent="0.25">
      <c r="A12" s="2" t="s">
        <v>13</v>
      </c>
      <c r="B12" s="8">
        <v>49.04</v>
      </c>
      <c r="C12" s="7">
        <v>26</v>
      </c>
      <c r="D12" s="8">
        <f t="shared" ref="D12:D17" si="0">B12*C12</f>
        <v>1275.04</v>
      </c>
    </row>
    <row r="13" spans="1:8" x14ac:dyDescent="0.25">
      <c r="A13" s="2" t="s">
        <v>14</v>
      </c>
      <c r="B13" s="8">
        <v>130.76</v>
      </c>
      <c r="C13" s="7">
        <v>1</v>
      </c>
      <c r="D13" s="8">
        <f t="shared" si="0"/>
        <v>130.76</v>
      </c>
    </row>
    <row r="14" spans="1:8" x14ac:dyDescent="0.25">
      <c r="A14" s="2" t="s">
        <v>40</v>
      </c>
      <c r="B14" s="8">
        <v>80.59</v>
      </c>
      <c r="C14" s="7">
        <v>0</v>
      </c>
      <c r="D14" s="8">
        <f t="shared" si="0"/>
        <v>0</v>
      </c>
    </row>
    <row r="15" spans="1:8" x14ac:dyDescent="0.25">
      <c r="A15" s="2" t="s">
        <v>15</v>
      </c>
      <c r="B15" s="8">
        <v>65.36</v>
      </c>
      <c r="C15" s="7">
        <v>1</v>
      </c>
      <c r="D15" s="8">
        <f t="shared" si="0"/>
        <v>65.36</v>
      </c>
    </row>
    <row r="16" spans="1:8" x14ac:dyDescent="0.25">
      <c r="A16" s="2" t="s">
        <v>16</v>
      </c>
      <c r="B16" s="8">
        <v>130.76</v>
      </c>
      <c r="C16" s="7">
        <v>1</v>
      </c>
      <c r="D16" s="8">
        <f t="shared" si="0"/>
        <v>130.76</v>
      </c>
    </row>
    <row r="17" spans="1:5" x14ac:dyDescent="0.25">
      <c r="A17" s="10" t="s">
        <v>17</v>
      </c>
      <c r="B17" s="11">
        <v>98.04</v>
      </c>
      <c r="C17" s="12">
        <v>1</v>
      </c>
      <c r="D17" s="11">
        <f t="shared" si="0"/>
        <v>98.04</v>
      </c>
    </row>
    <row r="18" spans="1:5" x14ac:dyDescent="0.25">
      <c r="A18" s="37" t="s">
        <v>33</v>
      </c>
      <c r="B18" s="37"/>
      <c r="C18" s="37"/>
      <c r="D18" s="13">
        <f>SUM(D11:D17)</f>
        <v>3399.84</v>
      </c>
      <c r="E18" t="s">
        <v>28</v>
      </c>
    </row>
    <row r="19" spans="1:5" x14ac:dyDescent="0.25">
      <c r="A19" s="2" t="s">
        <v>18</v>
      </c>
      <c r="B19" s="39"/>
      <c r="C19" s="40"/>
      <c r="D19" s="14">
        <v>-500</v>
      </c>
    </row>
    <row r="20" spans="1:5" x14ac:dyDescent="0.25">
      <c r="A20" s="2" t="s">
        <v>19</v>
      </c>
      <c r="B20" s="39"/>
      <c r="C20" s="40"/>
      <c r="D20" s="14">
        <v>-187</v>
      </c>
    </row>
    <row r="21" spans="1:5" x14ac:dyDescent="0.25">
      <c r="A21" s="2" t="s">
        <v>6</v>
      </c>
      <c r="B21" s="39"/>
      <c r="C21" s="40"/>
      <c r="D21" s="14">
        <v>-8.25</v>
      </c>
    </row>
    <row r="22" spans="1:5" x14ac:dyDescent="0.25">
      <c r="A22" s="2" t="s">
        <v>20</v>
      </c>
      <c r="B22" s="39"/>
      <c r="C22" s="40"/>
      <c r="D22" s="14">
        <v>-3.3</v>
      </c>
    </row>
    <row r="23" spans="1:5" x14ac:dyDescent="0.25">
      <c r="A23" s="37" t="s">
        <v>34</v>
      </c>
      <c r="B23" s="37"/>
      <c r="C23" s="37"/>
      <c r="D23" s="13">
        <f>SUM(D18:D22)</f>
        <v>2701.29</v>
      </c>
      <c r="E23" t="s">
        <v>29</v>
      </c>
    </row>
    <row r="24" spans="1:5" x14ac:dyDescent="0.25">
      <c r="D24" s="9"/>
    </row>
    <row r="25" spans="1:5" ht="15.75" thickBot="1" x14ac:dyDescent="0.3">
      <c r="A25" t="s">
        <v>27</v>
      </c>
      <c r="D25" s="9">
        <v>1669.63</v>
      </c>
      <c r="E25" t="s">
        <v>30</v>
      </c>
    </row>
    <row r="26" spans="1:5" ht="15.75" thickBot="1" x14ac:dyDescent="0.3">
      <c r="A26" s="15" t="s">
        <v>31</v>
      </c>
      <c r="B26" s="16"/>
      <c r="C26" s="16"/>
      <c r="D26" s="17">
        <f>D23-D25</f>
        <v>1031.6599999999999</v>
      </c>
    </row>
  </sheetData>
  <mergeCells count="7">
    <mergeCell ref="A23:C23"/>
    <mergeCell ref="B2:H2"/>
    <mergeCell ref="A18:C18"/>
    <mergeCell ref="B19:C19"/>
    <mergeCell ref="B20:C20"/>
    <mergeCell ref="B21:C21"/>
    <mergeCell ref="B22:C22"/>
  </mergeCells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4DFF-8527-472A-B466-16417956358D}">
  <dimension ref="A1:H26"/>
  <sheetViews>
    <sheetView tabSelected="1" zoomScaleNormal="100" workbookViewId="0">
      <selection activeCell="D4" sqref="D4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15.5703125" customWidth="1"/>
    <col min="4" max="4" width="15.42578125" customWidth="1"/>
  </cols>
  <sheetData>
    <row r="1" spans="1:8" x14ac:dyDescent="0.25">
      <c r="A1" t="s">
        <v>32</v>
      </c>
      <c r="B1" s="3">
        <v>45658</v>
      </c>
      <c r="C1" s="4"/>
      <c r="D1" s="4"/>
      <c r="E1" s="4"/>
      <c r="F1" s="4"/>
      <c r="G1" s="4"/>
      <c r="H1" s="4"/>
    </row>
    <row r="2" spans="1:8" x14ac:dyDescent="0.25">
      <c r="A2" t="s">
        <v>0</v>
      </c>
      <c r="B2" s="38" t="s">
        <v>21</v>
      </c>
      <c r="C2" s="38"/>
      <c r="D2" s="38"/>
      <c r="E2" s="38"/>
      <c r="F2" s="38"/>
      <c r="G2" s="38"/>
      <c r="H2" s="38"/>
    </row>
    <row r="3" spans="1:8" x14ac:dyDescent="0.25">
      <c r="A3" t="s">
        <v>1</v>
      </c>
      <c r="B3" s="4" t="s">
        <v>22</v>
      </c>
      <c r="C3" s="4"/>
      <c r="D3" s="4"/>
      <c r="E3" s="4"/>
      <c r="F3" s="4"/>
      <c r="G3" s="4"/>
      <c r="H3" s="4"/>
    </row>
    <row r="4" spans="1:8" x14ac:dyDescent="0.25">
      <c r="A4" t="s">
        <v>2</v>
      </c>
      <c r="B4" s="4" t="s">
        <v>23</v>
      </c>
      <c r="C4" s="4"/>
      <c r="D4" s="4"/>
      <c r="E4" s="4"/>
      <c r="F4" s="4"/>
      <c r="G4" s="4"/>
      <c r="H4" s="4"/>
    </row>
    <row r="5" spans="1:8" x14ac:dyDescent="0.25">
      <c r="A5" t="s">
        <v>3</v>
      </c>
      <c r="B5" s="4" t="s">
        <v>4</v>
      </c>
      <c r="C5" s="4"/>
      <c r="D5" s="4"/>
      <c r="E5" s="4"/>
      <c r="F5" s="4"/>
      <c r="G5" s="4"/>
      <c r="H5" s="4"/>
    </row>
    <row r="6" spans="1:8" x14ac:dyDescent="0.25">
      <c r="A6" t="s">
        <v>5</v>
      </c>
      <c r="B6" s="4" t="s">
        <v>24</v>
      </c>
      <c r="C6" s="4"/>
      <c r="D6" s="4"/>
      <c r="E6" s="4"/>
      <c r="F6" s="4"/>
      <c r="G6" s="4"/>
      <c r="H6" s="4"/>
    </row>
    <row r="7" spans="1:8" x14ac:dyDescent="0.25">
      <c r="A7" t="s">
        <v>6</v>
      </c>
      <c r="B7" s="5" t="s">
        <v>25</v>
      </c>
      <c r="C7" s="4"/>
      <c r="D7" s="4"/>
      <c r="E7" s="4"/>
      <c r="F7" s="4"/>
      <c r="G7" s="4"/>
      <c r="H7" s="4"/>
    </row>
    <row r="8" spans="1:8" x14ac:dyDescent="0.25">
      <c r="A8" t="s">
        <v>7</v>
      </c>
      <c r="B8" s="5" t="s">
        <v>39</v>
      </c>
      <c r="C8" s="4"/>
      <c r="D8" s="4"/>
      <c r="E8" s="4"/>
      <c r="F8" s="4"/>
      <c r="G8" s="4"/>
      <c r="H8" s="4"/>
    </row>
    <row r="10" spans="1:8" x14ac:dyDescent="0.25">
      <c r="A10" s="1" t="s">
        <v>8</v>
      </c>
      <c r="B10" s="6" t="s">
        <v>9</v>
      </c>
      <c r="C10" s="6" t="s">
        <v>10</v>
      </c>
      <c r="D10" s="6" t="s">
        <v>11</v>
      </c>
    </row>
    <row r="11" spans="1:8" x14ac:dyDescent="0.25">
      <c r="A11" s="2" t="s">
        <v>12</v>
      </c>
      <c r="B11" s="8">
        <v>65.38</v>
      </c>
      <c r="C11" s="7">
        <v>26</v>
      </c>
      <c r="D11" s="8">
        <f>B11*C11</f>
        <v>1699.8799999999999</v>
      </c>
    </row>
    <row r="12" spans="1:8" x14ac:dyDescent="0.25">
      <c r="A12" s="2" t="s">
        <v>13</v>
      </c>
      <c r="B12" s="8">
        <v>49.04</v>
      </c>
      <c r="C12" s="7">
        <v>26</v>
      </c>
      <c r="D12" s="8">
        <f t="shared" ref="D12:D17" si="0">B12*C12</f>
        <v>1275.04</v>
      </c>
    </row>
    <row r="13" spans="1:8" x14ac:dyDescent="0.25">
      <c r="A13" s="2" t="s">
        <v>14</v>
      </c>
      <c r="B13" s="8">
        <v>130.76</v>
      </c>
      <c r="C13" s="7">
        <v>1</v>
      </c>
      <c r="D13" s="8">
        <f t="shared" si="0"/>
        <v>130.76</v>
      </c>
    </row>
    <row r="14" spans="1:8" x14ac:dyDescent="0.25">
      <c r="A14" s="2" t="s">
        <v>40</v>
      </c>
      <c r="B14" s="8">
        <v>80.59</v>
      </c>
      <c r="C14" s="7">
        <v>0</v>
      </c>
      <c r="D14" s="8">
        <f t="shared" si="0"/>
        <v>0</v>
      </c>
    </row>
    <row r="15" spans="1:8" x14ac:dyDescent="0.25">
      <c r="A15" s="2" t="s">
        <v>15</v>
      </c>
      <c r="B15" s="8">
        <v>65.36</v>
      </c>
      <c r="C15" s="7">
        <v>1</v>
      </c>
      <c r="D15" s="8">
        <f t="shared" si="0"/>
        <v>65.36</v>
      </c>
    </row>
    <row r="16" spans="1:8" x14ac:dyDescent="0.25">
      <c r="A16" s="2" t="s">
        <v>16</v>
      </c>
      <c r="B16" s="8">
        <v>130.76</v>
      </c>
      <c r="C16" s="7">
        <v>1</v>
      </c>
      <c r="D16" s="8">
        <f t="shared" si="0"/>
        <v>130.76</v>
      </c>
    </row>
    <row r="17" spans="1:5" x14ac:dyDescent="0.25">
      <c r="A17" s="10" t="s">
        <v>17</v>
      </c>
      <c r="B17" s="11">
        <v>98.04</v>
      </c>
      <c r="C17" s="12">
        <v>1</v>
      </c>
      <c r="D17" s="11">
        <f t="shared" si="0"/>
        <v>98.04</v>
      </c>
    </row>
    <row r="18" spans="1:5" x14ac:dyDescent="0.25">
      <c r="A18" s="37" t="s">
        <v>33</v>
      </c>
      <c r="B18" s="37"/>
      <c r="C18" s="37"/>
      <c r="D18" s="13">
        <f>SUM(D11:D17)</f>
        <v>3399.84</v>
      </c>
      <c r="E18" t="s">
        <v>28</v>
      </c>
    </row>
    <row r="19" spans="1:5" x14ac:dyDescent="0.25">
      <c r="A19" s="2" t="s">
        <v>18</v>
      </c>
      <c r="B19" s="39"/>
      <c r="C19" s="40"/>
      <c r="D19" s="14">
        <v>-500</v>
      </c>
    </row>
    <row r="20" spans="1:5" x14ac:dyDescent="0.25">
      <c r="A20" s="2" t="s">
        <v>19</v>
      </c>
      <c r="B20" s="39"/>
      <c r="C20" s="40"/>
      <c r="D20" s="14">
        <v>-187</v>
      </c>
    </row>
    <row r="21" spans="1:5" x14ac:dyDescent="0.25">
      <c r="A21" s="2" t="s">
        <v>6</v>
      </c>
      <c r="B21" s="39"/>
      <c r="C21" s="40"/>
      <c r="D21" s="14">
        <v>-8.25</v>
      </c>
    </row>
    <row r="22" spans="1:5" x14ac:dyDescent="0.25">
      <c r="A22" s="2" t="s">
        <v>20</v>
      </c>
      <c r="B22" s="39"/>
      <c r="C22" s="40"/>
      <c r="D22" s="14">
        <v>-3.3</v>
      </c>
    </row>
    <row r="23" spans="1:5" x14ac:dyDescent="0.25">
      <c r="A23" s="37" t="s">
        <v>34</v>
      </c>
      <c r="B23" s="37"/>
      <c r="C23" s="37"/>
      <c r="D23" s="13">
        <f>SUM(D18:D22)</f>
        <v>2701.29</v>
      </c>
      <c r="E23" t="s">
        <v>29</v>
      </c>
    </row>
    <row r="24" spans="1:5" x14ac:dyDescent="0.25">
      <c r="D24" s="9"/>
    </row>
    <row r="25" spans="1:5" ht="15.75" thickBot="1" x14ac:dyDescent="0.3">
      <c r="A25" t="s">
        <v>27</v>
      </c>
      <c r="D25" s="9">
        <v>1669.63</v>
      </c>
      <c r="E25" t="s">
        <v>30</v>
      </c>
    </row>
    <row r="26" spans="1:5" ht="15.75" thickBot="1" x14ac:dyDescent="0.3">
      <c r="A26" s="15" t="s">
        <v>31</v>
      </c>
      <c r="B26" s="16"/>
      <c r="C26" s="16"/>
      <c r="D26" s="17">
        <f>D23-D25</f>
        <v>1031.6599999999999</v>
      </c>
    </row>
  </sheetData>
  <mergeCells count="7">
    <mergeCell ref="A23:C23"/>
    <mergeCell ref="B2:H2"/>
    <mergeCell ref="A18:C18"/>
    <mergeCell ref="B19:C19"/>
    <mergeCell ref="B20:C20"/>
    <mergeCell ref="B21:C21"/>
    <mergeCell ref="B22:C22"/>
  </mergeCells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F110-5E39-4D2D-9503-C41D5F8B8CAD}">
  <dimension ref="A1:C31"/>
  <sheetViews>
    <sheetView zoomScaleNormal="100" workbookViewId="0">
      <selection activeCell="A10" sqref="A10:C25"/>
    </sheetView>
  </sheetViews>
  <sheetFormatPr defaultRowHeight="15" x14ac:dyDescent="0.25"/>
  <cols>
    <col min="1" max="1" width="67.7109375" bestFit="1" customWidth="1"/>
    <col min="2" max="2" width="16.85546875" customWidth="1"/>
    <col min="3" max="3" width="36.42578125" customWidth="1"/>
  </cols>
  <sheetData>
    <row r="1" spans="1:3" x14ac:dyDescent="0.25">
      <c r="A1" s="4"/>
      <c r="B1" s="4"/>
    </row>
    <row r="2" spans="1:3" x14ac:dyDescent="0.25">
      <c r="A2" s="38"/>
      <c r="B2" s="38"/>
    </row>
    <row r="3" spans="1:3" x14ac:dyDescent="0.25">
      <c r="A3" s="4"/>
      <c r="B3" s="4"/>
    </row>
    <row r="4" spans="1:3" x14ac:dyDescent="0.25">
      <c r="A4" s="4"/>
      <c r="B4" s="4"/>
    </row>
    <row r="5" spans="1:3" x14ac:dyDescent="0.25">
      <c r="A5" s="4"/>
      <c r="B5" s="4"/>
    </row>
    <row r="6" spans="1:3" x14ac:dyDescent="0.25">
      <c r="A6" s="4"/>
      <c r="B6" s="4"/>
    </row>
    <row r="7" spans="1:3" x14ac:dyDescent="0.25">
      <c r="A7" s="4"/>
      <c r="B7" s="4"/>
    </row>
    <row r="8" spans="1:3" x14ac:dyDescent="0.25">
      <c r="A8" s="25" t="s">
        <v>45</v>
      </c>
      <c r="B8" s="4"/>
    </row>
    <row r="10" spans="1:3" x14ac:dyDescent="0.25">
      <c r="A10" s="35" t="s">
        <v>35</v>
      </c>
      <c r="B10" s="35" t="s">
        <v>26</v>
      </c>
      <c r="C10" s="36" t="s">
        <v>38</v>
      </c>
    </row>
    <row r="11" spans="1:3" x14ac:dyDescent="0.25">
      <c r="A11" s="18">
        <v>46054</v>
      </c>
      <c r="B11" s="22">
        <f>'1'!D26</f>
        <v>1031.6599999999999</v>
      </c>
      <c r="C11" s="19"/>
    </row>
    <row r="12" spans="1:3" x14ac:dyDescent="0.25">
      <c r="A12" s="18">
        <v>46082</v>
      </c>
      <c r="B12" s="22">
        <f>'3'!D26</f>
        <v>1346.5799999999997</v>
      </c>
      <c r="C12" s="19"/>
    </row>
    <row r="13" spans="1:3" x14ac:dyDescent="0.25">
      <c r="A13" s="18">
        <v>46113</v>
      </c>
      <c r="B13" s="22">
        <f>'4'!D26</f>
        <v>1241.5899999999997</v>
      </c>
      <c r="C13" s="19"/>
    </row>
    <row r="14" spans="1:3" x14ac:dyDescent="0.25">
      <c r="A14" s="18">
        <v>46143</v>
      </c>
      <c r="B14" s="22">
        <f>'5'!D26</f>
        <v>1346.5799999999997</v>
      </c>
      <c r="C14" s="19"/>
    </row>
    <row r="15" spans="1:3" x14ac:dyDescent="0.25">
      <c r="A15" s="18">
        <v>46174</v>
      </c>
      <c r="B15" s="22">
        <f>'6'!D26</f>
        <v>1183.5499999999995</v>
      </c>
      <c r="C15" s="19"/>
    </row>
    <row r="16" spans="1:3" x14ac:dyDescent="0.25">
      <c r="A16" s="18">
        <v>46204</v>
      </c>
      <c r="B16" s="22">
        <f>'7'!D26</f>
        <v>1299.6300000000001</v>
      </c>
      <c r="C16" s="19"/>
    </row>
    <row r="17" spans="1:3" x14ac:dyDescent="0.25">
      <c r="A17" s="18">
        <v>46235</v>
      </c>
      <c r="B17" s="22">
        <f>'08'!D26</f>
        <v>1346.5799999999997</v>
      </c>
      <c r="C17" s="19"/>
    </row>
    <row r="18" spans="1:3" x14ac:dyDescent="0.25">
      <c r="A18" s="18">
        <v>46266</v>
      </c>
      <c r="B18" s="22">
        <f>'09'!D26</f>
        <v>1183.5499999999995</v>
      </c>
      <c r="C18" s="19"/>
    </row>
    <row r="19" spans="1:3" x14ac:dyDescent="0.25">
      <c r="A19" s="19" t="s">
        <v>36</v>
      </c>
      <c r="B19" s="19"/>
      <c r="C19" s="19" t="s">
        <v>37</v>
      </c>
    </row>
    <row r="20" spans="1:3" x14ac:dyDescent="0.25">
      <c r="A20" s="19" t="s">
        <v>36</v>
      </c>
      <c r="B20" s="19"/>
      <c r="C20" s="19" t="s">
        <v>37</v>
      </c>
    </row>
    <row r="21" spans="1:3" x14ac:dyDescent="0.25">
      <c r="A21" s="18">
        <v>46357</v>
      </c>
      <c r="B21" s="22">
        <f>'12'!D26</f>
        <v>1299.6300000000001</v>
      </c>
      <c r="C21" s="19"/>
    </row>
    <row r="22" spans="1:3" x14ac:dyDescent="0.25">
      <c r="A22" s="26" t="s">
        <v>41</v>
      </c>
      <c r="B22" s="27">
        <f>SUM(B11:B21)</f>
        <v>11279.349999999999</v>
      </c>
      <c r="C22" s="26"/>
    </row>
    <row r="23" spans="1:3" x14ac:dyDescent="0.25">
      <c r="A23" s="41"/>
      <c r="B23" s="41"/>
      <c r="C23" s="41"/>
    </row>
    <row r="24" spans="1:3" x14ac:dyDescent="0.25">
      <c r="A24" s="28" t="s">
        <v>42</v>
      </c>
      <c r="B24" s="29">
        <v>-1326.7</v>
      </c>
      <c r="C24" s="28" t="s">
        <v>43</v>
      </c>
    </row>
    <row r="25" spans="1:3" x14ac:dyDescent="0.25">
      <c r="A25" s="33" t="s">
        <v>44</v>
      </c>
      <c r="B25" s="34">
        <f>SUM(B22:B24)</f>
        <v>9952.6499999999978</v>
      </c>
      <c r="C25" s="33"/>
    </row>
    <row r="27" spans="1:3" ht="18" x14ac:dyDescent="0.25">
      <c r="A27" s="30" t="s">
        <v>46</v>
      </c>
    </row>
    <row r="28" spans="1:3" x14ac:dyDescent="0.25">
      <c r="A28" s="31"/>
    </row>
    <row r="29" spans="1:3" x14ac:dyDescent="0.25">
      <c r="A29" s="31" t="s">
        <v>47</v>
      </c>
    </row>
    <row r="30" spans="1:3" x14ac:dyDescent="0.25">
      <c r="A30" s="31" t="s">
        <v>48</v>
      </c>
    </row>
    <row r="31" spans="1:3" x14ac:dyDescent="0.25">
      <c r="A31" s="32" t="s">
        <v>49</v>
      </c>
    </row>
  </sheetData>
  <mergeCells count="2">
    <mergeCell ref="A2:B2"/>
    <mergeCell ref="A23:C2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12</vt:lpstr>
      <vt:lpstr>11</vt:lpstr>
      <vt:lpstr>10</vt:lpstr>
      <vt:lpstr>09</vt:lpstr>
      <vt:lpstr>08</vt:lpstr>
      <vt:lpstr>7</vt:lpstr>
      <vt:lpstr>6</vt:lpstr>
      <vt:lpstr>5</vt:lpstr>
      <vt:lpstr>4</vt:lpstr>
      <vt:lpstr>3</vt:lpstr>
      <vt:lpstr>2</vt:lpstr>
      <vt:lpstr>1</vt:lpstr>
      <vt:lpstr>summary</vt:lpstr>
      <vt:lpstr>'08'!Print_Area</vt:lpstr>
      <vt:lpstr>'09'!Print_Area</vt:lpstr>
      <vt:lpstr>'1'!Print_Area</vt:lpstr>
      <vt:lpstr>'10'!Print_Area</vt:lpstr>
      <vt:lpstr>'11'!Print_Area</vt:lpstr>
      <vt:lpstr>'12'!Print_Area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Nathasha Alya</cp:lastModifiedBy>
  <cp:lastPrinted>2026-06-21T08:41:51Z</cp:lastPrinted>
  <dcterms:created xsi:type="dcterms:W3CDTF">2026-06-15T13:14:04Z</dcterms:created>
  <dcterms:modified xsi:type="dcterms:W3CDTF">2026-06-27T06:50:49Z</dcterms:modified>
</cp:coreProperties>
</file>